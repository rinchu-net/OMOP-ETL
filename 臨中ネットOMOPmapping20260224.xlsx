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C:\Users\mababa\Desktop\2.Deliverable\2.設計書・仕様書\GitHub\"/>
    </mc:Choice>
  </mc:AlternateContent>
  <xr:revisionPtr revIDLastSave="0" documentId="13_ncr:1_{E42B2E78-632F-4BA1-925F-1010D3623DE8}" xr6:coauthVersionLast="47" xr6:coauthVersionMax="47" xr10:uidLastSave="{00000000-0000-0000-0000-000000000000}"/>
  <bookViews>
    <workbookView xWindow="390" yWindow="390" windowWidth="28005" windowHeight="16755" xr2:uid="{8A188B70-48FD-46C7-9C56-F513596A99F9}"/>
  </bookViews>
  <sheets>
    <sheet name="cover" sheetId="44" r:id="rId1"/>
    <sheet name="changelog" sheetId="46" r:id="rId2"/>
    <sheet name="OMOP ConversionScope" sheetId="1" r:id="rId3"/>
    <sheet name="ETL_FLOW" sheetId="43" r:id="rId4"/>
    <sheet name="LOCATION" sheetId="24" r:id="rId5"/>
    <sheet name="CARE_SITE" sheetId="26" r:id="rId6"/>
    <sheet name="PROVIDER" sheetId="42" r:id="rId7"/>
    <sheet name="PERSON" sheetId="13" r:id="rId8"/>
    <sheet name="VISIT_OCCURENCE" sheetId="34" r:id="rId9"/>
    <sheet name="VISIT_DETAIL" sheetId="38" r:id="rId10"/>
    <sheet name="DEATH" sheetId="39" r:id="rId11"/>
    <sheet name="CONDITION_OCCURRENCE" sheetId="15" r:id="rId12"/>
    <sheet name="DRUG_EXPOSURE(prescription)" sheetId="21" r:id="rId13"/>
    <sheet name="DRUG_EXPOSURE (inject)" sheetId="37" r:id="rId14"/>
    <sheet name="MEASUREMENT" sheetId="20" r:id="rId15"/>
    <sheet name="SPECIMEN" sheetId="41" r:id="rId16"/>
    <sheet name="★EVENT_MAPPING" sheetId="40" r:id="rId17"/>
    <sheet name="→ワーク資料" sheetId="45" r:id="rId18"/>
    <sheet name="SOURCE_TO_CONCEPT_MAP" sheetId="32" r:id="rId19"/>
    <sheet name="CONCEPT" sheetId="30" r:id="rId20"/>
    <sheet name="国内用語コードのconceptIDの割り当て方" sheetId="33" r:id="rId21"/>
    <sheet name="ConditionStatus" sheetId="36" r:id="rId22"/>
  </sheets>
  <externalReferences>
    <externalReference r:id="rId23"/>
    <externalReference r:id="rId24"/>
    <externalReference r:id="rId25"/>
    <externalReference r:id="rId26"/>
    <externalReference r:id="rId27"/>
    <externalReference r:id="rId28"/>
    <externalReference r:id="rId29"/>
    <externalReference r:id="rId30"/>
  </externalReferences>
  <definedNames>
    <definedName name="_1a1_">#REF!</definedName>
    <definedName name="_ctb１">'[1]現行DB一覧2(CT)'!$A$2:$E$220</definedName>
    <definedName name="_DAY01">#REF!</definedName>
    <definedName name="_DAY02">#REF!</definedName>
    <definedName name="_DAY03">#REF!</definedName>
    <definedName name="_DAY04">#REF!</definedName>
    <definedName name="_DAY05">#REF!</definedName>
    <definedName name="_DAY06">#REF!</definedName>
    <definedName name="_DAY07">#REF!</definedName>
    <definedName name="_DAY08">#REF!</definedName>
    <definedName name="_DAY09">#REF!</definedName>
    <definedName name="_DAY10">#REF!</definedName>
    <definedName name="_DAY11">#REF!</definedName>
    <definedName name="_DAY12">#REF!</definedName>
    <definedName name="_DAY13">#REF!</definedName>
    <definedName name="_DAY14">#REF!</definedName>
    <definedName name="_DAY15">#REF!</definedName>
    <definedName name="_DAY16">#REF!</definedName>
    <definedName name="_xlnm._FilterDatabase" localSheetId="16" hidden="1">★EVENT_MAPPING!$A$3:$L$90</definedName>
    <definedName name="_xlnm._FilterDatabase" localSheetId="11" hidden="1">CONDITION_OCCURRENCE!$A$2:$I$18</definedName>
    <definedName name="_xlnm._FilterDatabase" localSheetId="10" hidden="1">DEATH!$A$2:$I$9</definedName>
    <definedName name="_xlnm._FilterDatabase" localSheetId="13" hidden="1">'DRUG_EXPOSURE (inject)'!$A$2:$I$25</definedName>
    <definedName name="_xlnm._FilterDatabase" localSheetId="12" hidden="1">'DRUG_EXPOSURE(prescription)'!$A$2:$I$25</definedName>
    <definedName name="_xlnm._FilterDatabase" localSheetId="14" hidden="1">MEASUREMENT!$A$2:$I$25</definedName>
    <definedName name="_xlnm._FilterDatabase" localSheetId="2" hidden="1">'OMOP ConversionScope'!$B$3:$F$42</definedName>
    <definedName name="_xlnm._FilterDatabase" localSheetId="7" hidden="1">PERSON!$A$2:$G$20</definedName>
    <definedName name="_xlnm._FilterDatabase" localSheetId="15" hidden="1">SPECIMEN!$A$2:$I$17</definedName>
    <definedName name="_xlnm._FilterDatabase" localSheetId="9" hidden="1">VISIT_DETAIL!$A$2:$I$21</definedName>
    <definedName name="_xlnm._FilterDatabase" localSheetId="8" hidden="1">VISIT_OCCURENCE!$A$2:$I$19</definedName>
    <definedName name="_wrn.月例報告." localSheetId="0" hidden="1">{"月例報告",#N/A,FALSE,"STB"}</definedName>
    <definedName name="_wrn.月例報告." hidden="1">{"月例報告",#N/A,FALSE,"STB"}</definedName>
    <definedName name="a">#REF!</definedName>
    <definedName name="AccessDatabase" hidden="1">"C:\Documents and Settings\kawana.OHSAKI\My Documents\作業中\ＤＢらいぶらり.mdb"</definedName>
    <definedName name="b">#REF!</definedName>
    <definedName name="Contact01">#REF!</definedName>
    <definedName name="CTLGP">#REF!</definedName>
    <definedName name="d">[2]TB!$B$2:$B$52</definedName>
    <definedName name="e">#REF!</definedName>
    <definedName name="EJBラインテスト件数">[3]ＰＴ障害状況!#REF!</definedName>
    <definedName name="EJBラインバグ件数">[3]ＰＴ障害状況!#REF!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A">#REF!</definedName>
    <definedName name="pc">"グループ 260"</definedName>
    <definedName name="_xlnm.Print_Area">#REF!</definedName>
    <definedName name="print_area1">#REF!</definedName>
    <definedName name="s">#REF!</definedName>
    <definedName name="SubSySID">#REF!</definedName>
    <definedName name="TODAY">#REF!</definedName>
    <definedName name="wrn.月例報告." localSheetId="0" hidden="1">{"月例報告",#N/A,FALSE,"STB"}</definedName>
    <definedName name="wrn.月例報告." hidden="1">{"月例報告",#N/A,FALSE,"STB"}</definedName>
    <definedName name="Ｘ">#REF!</definedName>
    <definedName name="あ">#REF!</definedName>
    <definedName name="あＺ">#REF!</definedName>
    <definedName name="サブシステムＩＤ">[4]参照!$C$6:$C$8</definedName>
    <definedName name="サブシステム名">[4]参照!$D$6:$D$8</definedName>
    <definedName name="画面ラインテスト件数">[3]ＰＴ障害状況!#REF!</definedName>
    <definedName name="画面ラインバグ件数">[3]ＰＴ障害状況!#REF!</definedName>
    <definedName name="機能">[5]Sheet2!$A$1:$A$4</definedName>
    <definedName name="作成頻度リスト">#REF!</definedName>
    <definedName name="主管部署ＩＤ">[4]参照!#REF!</definedName>
    <definedName name="主管部署名">[4]参照!#REF!</definedName>
    <definedName name="受託">[6]TB!$B$2:$B$52</definedName>
    <definedName name="受託１">[2]TB!$B$2:$B$52</definedName>
    <definedName name="終わり">#REF!</definedName>
    <definedName name="設計状態リスト">#REF!</definedName>
    <definedName name="属性">[7]参照!$C$27:$C$39</definedName>
    <definedName name="大分類リスト">#REF!</definedName>
    <definedName name="単体価格">#REF!</definedName>
    <definedName name="単体価格広島">#REF!</definedName>
    <definedName name="単体価格福岡">#REF!</definedName>
    <definedName name="中分類リスト">#REF!</definedName>
    <definedName name="版数">MAX([8]変更履歴!$A$7:$B$17)</definedName>
    <definedName name="変更日">MAX([8]変更履歴!$C$7:$E$17)</definedName>
    <definedName name="簿価残災対">#REF!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42" l="1"/>
  <c r="J5" i="42" s="1"/>
  <c r="J6" i="42" s="1"/>
  <c r="J7" i="42" s="1"/>
  <c r="J8" i="42" s="1"/>
  <c r="J9" i="42" s="1"/>
  <c r="J10" i="42" s="1"/>
  <c r="J11" i="42" s="1"/>
  <c r="J12" i="42" s="1"/>
  <c r="J13" i="42" s="1"/>
  <c r="J14" i="42" s="1"/>
  <c r="J15" i="42" s="1"/>
  <c r="J16" i="42" s="1"/>
  <c r="J17" i="42" s="1"/>
  <c r="J18" i="42" s="1"/>
  <c r="J19" i="42" s="1"/>
  <c r="J20" i="42" s="1"/>
  <c r="J21" i="42" s="1"/>
  <c r="J22" i="42" s="1"/>
  <c r="J23" i="42" s="1"/>
  <c r="J24" i="42" s="1"/>
  <c r="J25" i="42" s="1"/>
  <c r="J26" i="42" s="1"/>
  <c r="J27" i="42" s="1"/>
  <c r="J28" i="42" s="1"/>
  <c r="J29" i="42" s="1"/>
  <c r="J30" i="42" s="1"/>
  <c r="J31" i="42" s="1"/>
  <c r="J32" i="42" s="1"/>
  <c r="J33" i="42" s="1"/>
  <c r="J34" i="42" s="1"/>
  <c r="J35" i="42" s="1"/>
  <c r="J36" i="42" s="1"/>
  <c r="J37" i="42" s="1"/>
  <c r="J38" i="42" s="1"/>
  <c r="J39" i="42" s="1"/>
  <c r="J40" i="42" s="1"/>
  <c r="J41" i="42" s="1"/>
  <c r="J42" i="42" s="1"/>
  <c r="J43" i="42" s="1"/>
  <c r="J44" i="42" s="1"/>
  <c r="J45" i="42" s="1"/>
  <c r="J46" i="42" s="1"/>
  <c r="J47" i="42" s="1"/>
  <c r="J48" i="42" s="1"/>
  <c r="J49" i="42" s="1"/>
  <c r="J50" i="42" s="1"/>
  <c r="J51" i="42" s="1"/>
  <c r="J52" i="42" s="1"/>
  <c r="J53" i="42" s="1"/>
  <c r="J54" i="42" s="1"/>
  <c r="J55" i="42" s="1"/>
  <c r="J56" i="42" s="1"/>
  <c r="J57" i="42" s="1"/>
  <c r="J58" i="42" s="1"/>
  <c r="J59" i="42" s="1"/>
  <c r="J60" i="42" s="1"/>
  <c r="J61" i="42" s="1"/>
  <c r="J62" i="42" s="1"/>
  <c r="J63" i="42" s="1"/>
  <c r="J64" i="42" s="1"/>
  <c r="J65" i="42" s="1"/>
  <c r="J66" i="42" s="1"/>
  <c r="J67" i="42" s="1"/>
  <c r="J68" i="42" s="1"/>
  <c r="J69" i="42" s="1"/>
  <c r="J70" i="42" s="1"/>
  <c r="J71" i="42" s="1"/>
  <c r="J72" i="42" s="1"/>
  <c r="J73" i="42" s="1"/>
  <c r="J74" i="42" s="1"/>
  <c r="J75" i="42" s="1"/>
  <c r="J76" i="42" s="1"/>
  <c r="J77" i="42" s="1"/>
  <c r="J78" i="42" s="1"/>
  <c r="J79" i="42" s="1"/>
  <c r="J80" i="42" s="1"/>
  <c r="J81" i="42" s="1"/>
  <c r="J82" i="42" s="1"/>
  <c r="J83" i="42" s="1"/>
  <c r="J84" i="42" s="1"/>
  <c r="J85" i="42" s="1"/>
  <c r="J86" i="42" s="1"/>
  <c r="J87" i="42" s="1"/>
  <c r="J88" i="42" s="1"/>
  <c r="J89" i="42" s="1"/>
  <c r="J90" i="42" s="1"/>
  <c r="J91" i="42" s="1"/>
  <c r="J92" i="42" s="1"/>
  <c r="J93" i="42" s="1"/>
  <c r="J94" i="42" s="1"/>
  <c r="J95" i="42" s="1"/>
  <c r="J96" i="42" s="1"/>
  <c r="J97" i="42" s="1"/>
  <c r="J98" i="42" s="1"/>
  <c r="J99" i="42" s="1"/>
  <c r="J100" i="42" s="1"/>
  <c r="J101" i="42" s="1"/>
  <c r="J102" i="42" s="1"/>
  <c r="J103" i="42" s="1"/>
  <c r="J104" i="42" s="1"/>
  <c r="J105" i="42" s="1"/>
  <c r="J106" i="42" s="1"/>
  <c r="J107" i="42" s="1"/>
  <c r="J108" i="42" s="1"/>
  <c r="J109" i="42" s="1"/>
  <c r="J110" i="42" s="1"/>
  <c r="J111" i="42" s="1"/>
  <c r="J112" i="42" s="1"/>
  <c r="J113" i="42" s="1"/>
  <c r="J114" i="42" s="1"/>
  <c r="J115" i="42" s="1"/>
  <c r="J116" i="42" s="1"/>
  <c r="J117" i="42" s="1"/>
  <c r="J118" i="42" s="1"/>
  <c r="J119" i="42" s="1"/>
  <c r="J120" i="42" s="1"/>
  <c r="J121" i="42" s="1"/>
  <c r="J122" i="42" s="1"/>
  <c r="J123" i="42" s="1"/>
  <c r="J124" i="42" s="1"/>
  <c r="J125" i="42" s="1"/>
  <c r="J126" i="42" s="1"/>
  <c r="J127" i="42" s="1"/>
  <c r="J128" i="42" s="1"/>
  <c r="J129" i="42" s="1"/>
  <c r="J130" i="42" s="1"/>
  <c r="J131" i="42" s="1"/>
  <c r="J132" i="42" s="1"/>
  <c r="J133" i="42" s="1"/>
  <c r="J134" i="42" s="1"/>
  <c r="J135" i="42" s="1"/>
  <c r="J136" i="42" s="1"/>
  <c r="J137" i="42" s="1"/>
  <c r="J138" i="42" s="1"/>
  <c r="J139" i="42" s="1"/>
  <c r="J140" i="42" s="1"/>
  <c r="J141" i="42" s="1"/>
  <c r="J142" i="42" s="1"/>
  <c r="J143" i="42" s="1"/>
  <c r="J144" i="42" s="1"/>
  <c r="J145" i="42" s="1"/>
  <c r="J146" i="42" s="1"/>
  <c r="J147" i="42" s="1"/>
  <c r="J148" i="42" s="1"/>
  <c r="J149" i="42" s="1"/>
  <c r="J150" i="42" s="1"/>
  <c r="J151" i="42" s="1"/>
  <c r="J152" i="42" s="1"/>
  <c r="J153" i="42" s="1"/>
  <c r="J154" i="42" s="1"/>
  <c r="J155" i="42" s="1"/>
  <c r="J156" i="42" s="1"/>
  <c r="J157" i="42" s="1"/>
  <c r="J158" i="42" s="1"/>
  <c r="J159" i="42" s="1"/>
  <c r="J160" i="42" s="1"/>
  <c r="J161" i="42" s="1"/>
  <c r="J162" i="42" s="1"/>
  <c r="J163" i="42" s="1"/>
  <c r="J164" i="42" s="1"/>
  <c r="J165" i="42" s="1"/>
  <c r="J166" i="42" s="1"/>
  <c r="J167" i="42" s="1"/>
  <c r="J168" i="42" s="1"/>
  <c r="J169" i="42" s="1"/>
  <c r="J170" i="42" s="1"/>
  <c r="J171" i="42" s="1"/>
  <c r="J172" i="42" s="1"/>
  <c r="J173" i="42" s="1"/>
  <c r="J174" i="42" s="1"/>
  <c r="J175" i="42" s="1"/>
  <c r="J176" i="42" s="1"/>
  <c r="J177" i="42" s="1"/>
  <c r="J178" i="42" s="1"/>
  <c r="J179" i="42" s="1"/>
  <c r="J180" i="42" s="1"/>
  <c r="J181" i="42" s="1"/>
  <c r="J182" i="42" s="1"/>
  <c r="J183" i="42" s="1"/>
  <c r="J184" i="42" s="1"/>
  <c r="J185" i="42" s="1"/>
  <c r="J186" i="42" s="1"/>
  <c r="J187" i="42" s="1"/>
  <c r="J188" i="42" s="1"/>
  <c r="J189" i="42" s="1"/>
  <c r="J190" i="42" s="1"/>
  <c r="J191" i="42" s="1"/>
  <c r="J192" i="42" s="1"/>
  <c r="J193" i="42" s="1"/>
  <c r="J194" i="42" s="1"/>
  <c r="J195" i="42" s="1"/>
  <c r="J196" i="42" s="1"/>
  <c r="J197" i="42" s="1"/>
  <c r="J198" i="42" s="1"/>
  <c r="J199" i="42" s="1"/>
  <c r="J200" i="42" s="1"/>
  <c r="J201" i="42" s="1"/>
  <c r="J202" i="42" s="1"/>
  <c r="J203" i="42" s="1"/>
  <c r="J204" i="42" s="1"/>
  <c r="J205" i="42" s="1"/>
  <c r="J206" i="42" s="1"/>
  <c r="J207" i="42" s="1"/>
  <c r="J208" i="42" s="1"/>
  <c r="J209" i="42" s="1"/>
  <c r="J210" i="42" s="1"/>
  <c r="J211" i="42" s="1"/>
  <c r="J212" i="42" s="1"/>
  <c r="J213" i="42" s="1"/>
  <c r="J214" i="42" s="1"/>
  <c r="J215" i="42" s="1"/>
  <c r="J216" i="42" s="1"/>
  <c r="J217" i="42" s="1"/>
  <c r="J218" i="42" s="1"/>
  <c r="J219" i="42" s="1"/>
  <c r="J220" i="42" s="1"/>
  <c r="J221" i="42" s="1"/>
  <c r="J222" i="42" s="1"/>
  <c r="J223" i="42" s="1"/>
  <c r="J224" i="42" s="1"/>
  <c r="J225" i="42" s="1"/>
  <c r="J226" i="42" s="1"/>
  <c r="J227" i="42" s="1"/>
  <c r="J228" i="42" s="1"/>
  <c r="J229" i="42" s="1"/>
  <c r="J230" i="42" s="1"/>
  <c r="J231" i="42" s="1"/>
  <c r="J232" i="42" s="1"/>
  <c r="J233" i="42" s="1"/>
  <c r="J234" i="42" s="1"/>
  <c r="J235" i="42" s="1"/>
  <c r="J236" i="42" s="1"/>
  <c r="J237" i="42" s="1"/>
  <c r="J238" i="42" s="1"/>
  <c r="J239" i="42" s="1"/>
  <c r="J240" i="42" s="1"/>
  <c r="J241" i="42" s="1"/>
  <c r="J242" i="42" s="1"/>
  <c r="J243" i="42" s="1"/>
  <c r="J244" i="42" s="1"/>
  <c r="J245" i="42" s="1"/>
  <c r="J246" i="42" s="1"/>
  <c r="J247" i="42" s="1"/>
  <c r="J248" i="42" s="1"/>
  <c r="J249" i="42" s="1"/>
  <c r="J250" i="42" s="1"/>
  <c r="J251" i="42" s="1"/>
  <c r="J252" i="42" s="1"/>
  <c r="J253" i="42" s="1"/>
  <c r="J254" i="42" s="1"/>
  <c r="J255" i="42" s="1"/>
  <c r="J256" i="42" s="1"/>
  <c r="J257" i="42" s="1"/>
  <c r="J258" i="42" s="1"/>
  <c r="J259" i="42" s="1"/>
  <c r="J260" i="42" s="1"/>
  <c r="J261" i="42" s="1"/>
  <c r="J262" i="42" s="1"/>
  <c r="J263" i="42" s="1"/>
  <c r="J264" i="42" s="1"/>
  <c r="J265" i="42" s="1"/>
  <c r="J266" i="42" s="1"/>
  <c r="J267" i="42" s="1"/>
  <c r="J268" i="42" s="1"/>
  <c r="J269" i="42" s="1"/>
  <c r="J270" i="42" s="1"/>
  <c r="J271" i="42" s="1"/>
  <c r="J272" i="42" s="1"/>
  <c r="J273" i="42" s="1"/>
  <c r="J274" i="42" s="1"/>
  <c r="J275" i="42" s="1"/>
  <c r="J276" i="42" s="1"/>
  <c r="J277" i="42" s="1"/>
  <c r="J278" i="42" s="1"/>
  <c r="J279" i="42" s="1"/>
  <c r="J280" i="42" s="1"/>
  <c r="J281" i="42" s="1"/>
  <c r="J282" i="42" s="1"/>
  <c r="J283" i="42" s="1"/>
  <c r="J284" i="42" s="1"/>
  <c r="J285" i="42" s="1"/>
  <c r="J286" i="42" s="1"/>
  <c r="J287" i="42" s="1"/>
  <c r="J288" i="42" s="1"/>
  <c r="J289" i="42" s="1"/>
  <c r="J290" i="42" s="1"/>
  <c r="J291" i="42" s="1"/>
  <c r="J292" i="42" s="1"/>
  <c r="J293" i="42" s="1"/>
  <c r="J294" i="42" s="1"/>
  <c r="J295" i="42" s="1"/>
  <c r="J296" i="42" s="1"/>
  <c r="J297" i="42" s="1"/>
  <c r="J298" i="42" s="1"/>
  <c r="J299" i="42" s="1"/>
  <c r="J300" i="42" s="1"/>
  <c r="J301" i="42" s="1"/>
  <c r="J302" i="42" s="1"/>
  <c r="J303" i="42" s="1"/>
  <c r="J304" i="42" s="1"/>
  <c r="J305" i="42" s="1"/>
  <c r="J306" i="42" s="1"/>
  <c r="J307" i="42" s="1"/>
  <c r="J308" i="42" s="1"/>
  <c r="J309" i="42" s="1"/>
  <c r="J310" i="42" s="1"/>
  <c r="J311" i="42" s="1"/>
  <c r="J312" i="42" s="1"/>
  <c r="J313" i="42" s="1"/>
  <c r="J314" i="42" s="1"/>
  <c r="J315" i="42" s="1"/>
  <c r="J316" i="42" s="1"/>
  <c r="J317" i="42" s="1"/>
  <c r="J318" i="42" s="1"/>
  <c r="J319" i="42" s="1"/>
  <c r="J320" i="42" s="1"/>
  <c r="J321" i="42" s="1"/>
  <c r="J322" i="42" s="1"/>
  <c r="A6" i="40" l="1"/>
  <c r="A7" i="40" s="1"/>
  <c r="A8" i="40" s="1"/>
  <c r="A9" i="40" s="1"/>
  <c r="A10" i="40" s="1"/>
  <c r="A11" i="40" s="1"/>
  <c r="A13" i="40" s="1"/>
  <c r="A15" i="40" s="1"/>
  <c r="A17" i="40" s="1"/>
  <c r="A18" i="40" s="1"/>
  <c r="A19" i="40" l="1"/>
  <c r="A20" i="40" s="1"/>
  <c r="A23" i="40" l="1"/>
  <c r="A24" i="40" s="1"/>
  <c r="A26" i="40" s="1"/>
  <c r="A27" i="40" s="1"/>
  <c r="A28" i="40" s="1"/>
  <c r="A29" i="40" s="1"/>
  <c r="A32" i="40" l="1"/>
  <c r="A33" i="40" s="1"/>
  <c r="A34" i="40" s="1"/>
  <c r="A35" i="40" s="1"/>
  <c r="A36" i="40" s="1"/>
  <c r="A76" i="40"/>
  <c r="A77" i="40" s="1"/>
  <c r="A78" i="40" s="1"/>
  <c r="A79" i="40" s="1"/>
  <c r="A80" i="40" s="1"/>
  <c r="A81" i="40" s="1"/>
  <c r="A82" i="40" s="1"/>
  <c r="A83" i="40" s="1"/>
  <c r="A84" i="40" s="1"/>
  <c r="A85" i="40" s="1"/>
  <c r="A87" i="40" l="1"/>
  <c r="A88" i="40" s="1"/>
  <c r="A89" i="40" s="1"/>
  <c r="A90" i="40" s="1"/>
  <c r="A39" i="40"/>
  <c r="A40" i="40" s="1"/>
  <c r="A41" i="40" s="1"/>
  <c r="A42" i="40" s="1"/>
  <c r="A43" i="40" s="1"/>
  <c r="A44" i="40" l="1"/>
  <c r="A46" i="40"/>
  <c r="A47" i="40" s="1"/>
  <c r="A48" i="40" l="1"/>
  <c r="A49" i="40" s="1"/>
  <c r="A50" i="40" s="1"/>
  <c r="A51" i="40" s="1"/>
  <c r="A52" i="40" s="1"/>
  <c r="A53" i="40" l="1"/>
  <c r="A55" i="40"/>
  <c r="A56" i="40" s="1"/>
  <c r="A57" i="40" s="1"/>
  <c r="A58" i="40" l="1"/>
  <c r="A59" i="40" s="1"/>
  <c r="A60" i="40" s="1"/>
  <c r="A62" i="40" s="1"/>
  <c r="A63" i="40" s="1"/>
  <c r="A64" i="40" s="1"/>
  <c r="A65" i="40" s="1"/>
  <c r="A66" i="40" s="1"/>
  <c r="A68" i="40" s="1"/>
</calcChain>
</file>

<file path=xl/sharedStrings.xml><?xml version="1.0" encoding="utf-8"?>
<sst xmlns="http://schemas.openxmlformats.org/spreadsheetml/2006/main" count="5343" uniqueCount="1902">
  <si>
    <t>Column Name</t>
  </si>
  <si>
    <t>Data Type</t>
  </si>
  <si>
    <t>Max Length</t>
  </si>
  <si>
    <t>integer</t>
  </si>
  <si>
    <t>character varying</t>
  </si>
  <si>
    <t>date</t>
  </si>
  <si>
    <t>timestamp without time zone</t>
  </si>
  <si>
    <t>numeric</t>
  </si>
  <si>
    <t>Is Nullable</t>
  </si>
  <si>
    <t>NO</t>
  </si>
  <si>
    <t>YES</t>
  </si>
  <si>
    <t>table_name</t>
  </si>
  <si>
    <t>care_site</t>
  </si>
  <si>
    <t>cdm_source</t>
  </si>
  <si>
    <t>cohort</t>
  </si>
  <si>
    <t>cohort_definition</t>
  </si>
  <si>
    <t>concept</t>
  </si>
  <si>
    <t>concept_ancestor</t>
  </si>
  <si>
    <t>concept_class</t>
  </si>
  <si>
    <t>concept_relationship</t>
  </si>
  <si>
    <t>concept_synonym</t>
  </si>
  <si>
    <t>condition_era</t>
  </si>
  <si>
    <t>condition_occurrence</t>
  </si>
  <si>
    <t>cost</t>
  </si>
  <si>
    <t>death</t>
  </si>
  <si>
    <t>domain</t>
  </si>
  <si>
    <t>dose_era</t>
  </si>
  <si>
    <t>drug_era</t>
  </si>
  <si>
    <t>drug_exposure</t>
  </si>
  <si>
    <t>drug_strength</t>
  </si>
  <si>
    <t>episode</t>
  </si>
  <si>
    <t>episode_event</t>
  </si>
  <si>
    <t>fact_relationship</t>
  </si>
  <si>
    <t>location</t>
  </si>
  <si>
    <t>measurement</t>
  </si>
  <si>
    <t>metadata</t>
  </si>
  <si>
    <t>note</t>
  </si>
  <si>
    <t>note_nlp</t>
  </si>
  <si>
    <t>observation</t>
  </si>
  <si>
    <t>observation_period</t>
  </si>
  <si>
    <t>payer_plan_period</t>
  </si>
  <si>
    <t>person</t>
  </si>
  <si>
    <t>procedure_occurrence</t>
  </si>
  <si>
    <t>provider</t>
  </si>
  <si>
    <t>relationship</t>
  </si>
  <si>
    <t>source_to_concept_map</t>
  </si>
  <si>
    <t>specimen</t>
  </si>
  <si>
    <t>visit_detail</t>
  </si>
  <si>
    <t>visit_occurrence</t>
  </si>
  <si>
    <t>person_id</t>
  </si>
  <si>
    <t>year_of_birth</t>
  </si>
  <si>
    <t>month_of_birth</t>
  </si>
  <si>
    <t>day_of_birth</t>
  </si>
  <si>
    <t>birth_datetime</t>
  </si>
  <si>
    <t>ethnicity_concept_id</t>
  </si>
  <si>
    <t>location_id</t>
  </si>
  <si>
    <t>provider_id</t>
  </si>
  <si>
    <t>care_site_id</t>
  </si>
  <si>
    <t>person_source_value</t>
  </si>
  <si>
    <t>gender_source_value</t>
  </si>
  <si>
    <t>race_source_value</t>
  </si>
  <si>
    <t>ethnicity_source_value</t>
  </si>
  <si>
    <t>ethnicity_source_concept_id</t>
  </si>
  <si>
    <t>Related to</t>
    <phoneticPr fontId="1"/>
  </si>
  <si>
    <t>PERSON</t>
    <phoneticPr fontId="1"/>
  </si>
  <si>
    <t>生年月日の年を登録</t>
    <rPh sb="0" eb="4">
      <t>セイネンガッピ</t>
    </rPh>
    <rPh sb="5" eb="6">
      <t>ネン</t>
    </rPh>
    <rPh sb="7" eb="9">
      <t>トウロク</t>
    </rPh>
    <phoneticPr fontId="1"/>
  </si>
  <si>
    <t>生年月日の月を登録</t>
    <rPh sb="0" eb="4">
      <t>セイネンガッピ</t>
    </rPh>
    <rPh sb="5" eb="6">
      <t>ツキ</t>
    </rPh>
    <rPh sb="7" eb="9">
      <t>トウロク</t>
    </rPh>
    <phoneticPr fontId="1"/>
  </si>
  <si>
    <t>生年月日の日を登録</t>
    <rPh sb="0" eb="4">
      <t>セイネンガッピ</t>
    </rPh>
    <rPh sb="5" eb="6">
      <t>ヒ</t>
    </rPh>
    <rPh sb="7" eb="9">
      <t>トウロク</t>
    </rPh>
    <phoneticPr fontId="1"/>
  </si>
  <si>
    <t>（設定しない）</t>
    <rPh sb="1" eb="3">
      <t>セッテイ</t>
    </rPh>
    <phoneticPr fontId="1"/>
  </si>
  <si>
    <t>https://athena.ohdsi.org/search-terms/terms?domain=Type+Concept&amp;standardConcept=Standard&amp;page=1&amp;pageSize=15&amp;query=</t>
    <phoneticPr fontId="1"/>
  </si>
  <si>
    <t>condition_occurrence_id</t>
  </si>
  <si>
    <t>condition_start_date</t>
  </si>
  <si>
    <t>condition_start_datetime</t>
  </si>
  <si>
    <t>condition_end_date</t>
  </si>
  <si>
    <t>condition_end_datetime</t>
  </si>
  <si>
    <t>stop_reason</t>
  </si>
  <si>
    <t>visit_occurrence_id</t>
  </si>
  <si>
    <t>visit_detail_id</t>
  </si>
  <si>
    <t>condition_source_value</t>
  </si>
  <si>
    <t>condition_status_source_value</t>
  </si>
  <si>
    <t>CONDITION_OCCURRENCE</t>
    <phoneticPr fontId="1"/>
  </si>
  <si>
    <t>https://athena.ohdsi.org/search-terms/terms?domain=Condition&amp;standardConcept=Standard&amp;page=1&amp;pageSize=15&amp;query=</t>
    <phoneticPr fontId="1"/>
  </si>
  <si>
    <t>https://athena.ohdsi.org/search-terms/terms?domain=Condition+Status&amp;standardConcept=Standard&amp;page=1&amp;pageSize=15&amp;query=</t>
    <phoneticPr fontId="1"/>
  </si>
  <si>
    <t>Vocab. TYPE_CONCEPT · OHDSI/Vocabulary-v5.0 Wiki · GitHub</t>
    <phoneticPr fontId="1"/>
  </si>
  <si>
    <t>condition_status_concept_id</t>
    <phoneticPr fontId="1"/>
  </si>
  <si>
    <t>Vocabulary Link(ATHENA)</t>
    <phoneticPr fontId="1"/>
  </si>
  <si>
    <t>CARE_SITE</t>
    <phoneticPr fontId="1"/>
  </si>
  <si>
    <t>quantity</t>
  </si>
  <si>
    <t>value_as_number</t>
  </si>
  <si>
    <t>unit_source_value</t>
  </si>
  <si>
    <t>value_source_value</t>
  </si>
  <si>
    <t>bigint</t>
  </si>
  <si>
    <t>measurement_id</t>
  </si>
  <si>
    <t>measurement_date</t>
  </si>
  <si>
    <t>measurement_datetime</t>
  </si>
  <si>
    <t>measurement_time</t>
  </si>
  <si>
    <t>range_low</t>
  </si>
  <si>
    <t>range_high</t>
  </si>
  <si>
    <t>measurement_event_id</t>
  </si>
  <si>
    <t>MEASUREMENT</t>
    <phoneticPr fontId="1"/>
  </si>
  <si>
    <t>drug_exposure_id</t>
  </si>
  <si>
    <t>drug_exposure_start_date</t>
  </si>
  <si>
    <t>drug_exposure_start_datetime</t>
  </si>
  <si>
    <t>drug_exposure_end_date</t>
  </si>
  <si>
    <t>drug_exposure_end_datetime</t>
  </si>
  <si>
    <t>verbatim_end_date</t>
  </si>
  <si>
    <t>drug_type_concept_id</t>
  </si>
  <si>
    <t>refills</t>
  </si>
  <si>
    <t>days_supply</t>
  </si>
  <si>
    <t>sig</t>
  </si>
  <si>
    <t>text</t>
  </si>
  <si>
    <t>route_concept_id</t>
  </si>
  <si>
    <t>lot_number</t>
  </si>
  <si>
    <t>drug_source_value</t>
  </si>
  <si>
    <t>drug_source_concept_id</t>
  </si>
  <si>
    <t>route_source_value</t>
  </si>
  <si>
    <t>dose_unit_source_value</t>
  </si>
  <si>
    <t>DRUG_EXPOSURE</t>
    <phoneticPr fontId="1"/>
  </si>
  <si>
    <t>valid_start_date</t>
  </si>
  <si>
    <t>valid_end_date</t>
  </si>
  <si>
    <t>invalid_reason</t>
  </si>
  <si>
    <t>address_1</t>
  </si>
  <si>
    <t>address_2</t>
  </si>
  <si>
    <t>city</t>
  </si>
  <si>
    <t>state</t>
  </si>
  <si>
    <t>zip</t>
  </si>
  <si>
    <t>county</t>
  </si>
  <si>
    <t>country_concept_id</t>
  </si>
  <si>
    <t>country_source_value</t>
  </si>
  <si>
    <t>latitude</t>
  </si>
  <si>
    <t>longitude</t>
  </si>
  <si>
    <t>LOCATION</t>
    <phoneticPr fontId="1"/>
  </si>
  <si>
    <t>care_site_name</t>
  </si>
  <si>
    <t>care_site_source_value</t>
  </si>
  <si>
    <t>place_of_service_source_value</t>
  </si>
  <si>
    <t>https://athena.ohdsi.org/search-terms/terms?domain=Meas+Value+Operator&amp;standardConcept=Standard&amp;page=1&amp;pageSize=15&amp;query=</t>
    <phoneticPr fontId="1"/>
  </si>
  <si>
    <t>方針</t>
    <rPh sb="0" eb="2">
      <t>ホウシン</t>
    </rPh>
    <phoneticPr fontId="1"/>
  </si>
  <si>
    <t>実施方針</t>
    <rPh sb="0" eb="2">
      <t>ジッシ</t>
    </rPh>
    <rPh sb="2" eb="4">
      <t>ホウシン</t>
    </rPh>
    <phoneticPr fontId="1"/>
  </si>
  <si>
    <t>手作業</t>
    <rPh sb="0" eb="3">
      <t>テサギョウ</t>
    </rPh>
    <phoneticPr fontId="1"/>
  </si>
  <si>
    <t>ETL</t>
    <phoneticPr fontId="1"/>
  </si>
  <si>
    <t>Patient Identification.
PI_UNIQUE_ID</t>
    <phoneticPr fontId="1"/>
  </si>
  <si>
    <t>Patient Identification.
SEX</t>
    <phoneticPr fontId="1"/>
  </si>
  <si>
    <t>Patient Identification.
SCH_BIRTHDATE</t>
    <phoneticPr fontId="1"/>
  </si>
  <si>
    <t>Patient Address.
POSTAL_CD</t>
    <phoneticPr fontId="1"/>
  </si>
  <si>
    <t>固定</t>
    <rPh sb="0" eb="2">
      <t>コテイ</t>
    </rPh>
    <phoneticPr fontId="1"/>
  </si>
  <si>
    <t>Comment</t>
    <phoneticPr fontId="1"/>
  </si>
  <si>
    <t>SSMIX標準DBにオリジナルの患者IDとは別に施設ごとのユニークIDが採番されているので、それを利用</t>
    <rPh sb="5" eb="7">
      <t>ヒョウジュン</t>
    </rPh>
    <rPh sb="16" eb="18">
      <t>カンジャ</t>
    </rPh>
    <rPh sb="22" eb="23">
      <t>ベツ</t>
    </rPh>
    <rPh sb="24" eb="26">
      <t>シセツ</t>
    </rPh>
    <rPh sb="36" eb="38">
      <t>サイバン</t>
    </rPh>
    <rPh sb="49" eb="51">
      <t>リヨウ</t>
    </rPh>
    <phoneticPr fontId="1"/>
  </si>
  <si>
    <t>郵便番号 to Japan Specific Codes
日本郵便のデータを登録する想定</t>
    <rPh sb="0" eb="4">
      <t>ユウビンバンゴウ</t>
    </rPh>
    <rPh sb="38" eb="40">
      <t>トウロク</t>
    </rPh>
    <rPh sb="42" eb="44">
      <t>ソウテイ</t>
    </rPh>
    <phoneticPr fontId="1"/>
  </si>
  <si>
    <t>Map to</t>
    <phoneticPr fontId="1"/>
  </si>
  <si>
    <t>SSMIX標準DBにカラムはあるがデータはないので対象外とする</t>
    <rPh sb="5" eb="7">
      <t>ヒョウジュン</t>
    </rPh>
    <rPh sb="25" eb="28">
      <t>タイショウガイ</t>
    </rPh>
    <phoneticPr fontId="1"/>
  </si>
  <si>
    <t>Static</t>
    <phoneticPr fontId="1"/>
  </si>
  <si>
    <t>Approrch</t>
    <phoneticPr fontId="1"/>
  </si>
  <si>
    <t>Patient Disease.
ICD10_CD</t>
    <phoneticPr fontId="1"/>
  </si>
  <si>
    <t>Patient Disease.
DIS_OUTCOME_CD</t>
    <phoneticPr fontId="1"/>
  </si>
  <si>
    <t>Observation Result.
SPM_COLLECT_DATE</t>
    <phoneticPr fontId="1"/>
  </si>
  <si>
    <t>Observation Result.
SPM_COLLECT_TIME</t>
    <phoneticPr fontId="1"/>
  </si>
  <si>
    <t>Observation Result.
OBX_RANGE_LOW_L</t>
    <phoneticPr fontId="1"/>
  </si>
  <si>
    <t>Observation Result.
OBX_RANGE_HIGH_L</t>
    <phoneticPr fontId="1"/>
  </si>
  <si>
    <t>医療機関コードと医療機関名を登録</t>
    <rPh sb="0" eb="4">
      <t>イリョウキカン</t>
    </rPh>
    <rPh sb="8" eb="13">
      <t>イリョウキカンメイ</t>
    </rPh>
    <rPh sb="14" eb="16">
      <t>トウロク</t>
    </rPh>
    <phoneticPr fontId="1"/>
  </si>
  <si>
    <t>Prescription Data.
PRES_MEDICINE_CD_YJ</t>
    <phoneticPr fontId="1"/>
  </si>
  <si>
    <t>Prescription Data.
SCH_PRES_START_DATE</t>
    <phoneticPr fontId="1"/>
  </si>
  <si>
    <t>https://athena.ohdsi.org/search-terms/terms?conceptClass=Type+Concept&amp;page=1&amp;pageSize=30&amp;query=</t>
    <phoneticPr fontId="1"/>
  </si>
  <si>
    <t>Map to</t>
  </si>
  <si>
    <t>https://athena.ohdsi.org/search-terms/terms?domain=Drug&amp;standardConcept=Standard&amp;page=1&amp;pageSize=30&amp;query=</t>
    <phoneticPr fontId="1"/>
  </si>
  <si>
    <t>Prescription Data.
PRES_PERIOD</t>
    <phoneticPr fontId="1"/>
  </si>
  <si>
    <t>Prescription Data.
PRES_ROUTE</t>
    <phoneticPr fontId="1"/>
  </si>
  <si>
    <t xml:space="preserve">YJコードをsource_to_concept_mapを介してRxNome他のStandard Vocabularyに変換する
</t>
    <rPh sb="28" eb="29">
      <t>カイ</t>
    </rPh>
    <rPh sb="37" eb="38">
      <t>タ</t>
    </rPh>
    <rPh sb="59" eb="61">
      <t>ヘンカン</t>
    </rPh>
    <phoneticPr fontId="1"/>
  </si>
  <si>
    <t>当該医療機関の医療機関名を設定する</t>
    <rPh sb="0" eb="2">
      <t>トウガイ</t>
    </rPh>
    <rPh sb="2" eb="4">
      <t>イリョウ</t>
    </rPh>
    <rPh sb="4" eb="6">
      <t>キカン</t>
    </rPh>
    <rPh sb="7" eb="9">
      <t>イリョウ</t>
    </rPh>
    <rPh sb="9" eb="11">
      <t>キカン</t>
    </rPh>
    <rPh sb="11" eb="12">
      <t>メイ</t>
    </rPh>
    <rPh sb="13" eb="15">
      <t>セッテイ</t>
    </rPh>
    <phoneticPr fontId="1"/>
  </si>
  <si>
    <t>concept_id</t>
  </si>
  <si>
    <t>concept_name</t>
  </si>
  <si>
    <t>domain_id</t>
  </si>
  <si>
    <t>vocabulary_id</t>
  </si>
  <si>
    <t>concept_class_id</t>
  </si>
  <si>
    <t>standard_concept</t>
  </si>
  <si>
    <t>concept_code</t>
  </si>
  <si>
    <t>CONCEPT</t>
    <phoneticPr fontId="1"/>
  </si>
  <si>
    <t>YJコード
JLAC10コード
ICD10(JP固有)</t>
    <rPh sb="24" eb="26">
      <t>コユウ</t>
    </rPh>
    <phoneticPr fontId="1"/>
  </si>
  <si>
    <t>Japan</t>
    <phoneticPr fontId="1"/>
  </si>
  <si>
    <t>source_code</t>
  </si>
  <si>
    <t>source_concept_id</t>
  </si>
  <si>
    <t>source_vocabulary_id</t>
  </si>
  <si>
    <t>source_code_description</t>
  </si>
  <si>
    <t>target_concept_id</t>
  </si>
  <si>
    <t>target_vocabulary_id</t>
  </si>
  <si>
    <t>SOURCE_TO_CONCEPT_MAP</t>
  </si>
  <si>
    <t>https://athena.ohdsi.org/search-terms/terms?domain=Gender&amp;standardConcept=Standard&amp;page=1&amp;pageSize=30&amp;query=</t>
    <phoneticPr fontId="1"/>
  </si>
  <si>
    <t>医薬品：医薬品名称(MEDIS医薬品マスタ)
検査：検査名称(JLAC10マスタ)
傷病名：病名(MEDIS病名マスタ)</t>
    <rPh sb="0" eb="3">
      <t>イヤクヒン</t>
    </rPh>
    <rPh sb="4" eb="7">
      <t>イヤクヒン</t>
    </rPh>
    <rPh sb="7" eb="9">
      <t>メイショウ</t>
    </rPh>
    <rPh sb="15" eb="18">
      <t>イヤクヒン</t>
    </rPh>
    <rPh sb="22" eb="24">
      <t>ケンサショウビョウメイ</t>
    </rPh>
    <rPh sb="26" eb="28">
      <t>ケンサ</t>
    </rPh>
    <rPh sb="28" eb="30">
      <t>メイショウ</t>
    </rPh>
    <rPh sb="46" eb="48">
      <t>ビョウメイ</t>
    </rPh>
    <rPh sb="54" eb="56">
      <t>ビョウメイ</t>
    </rPh>
    <phoneticPr fontId="1"/>
  </si>
  <si>
    <t>OMOP CDMv5.4 -臨中ネット標準DB Conversion Scope</t>
    <phoneticPr fontId="1"/>
  </si>
  <si>
    <t>分類</t>
    <rPh sb="0" eb="2">
      <t>ブンルイ</t>
    </rPh>
    <phoneticPr fontId="1"/>
  </si>
  <si>
    <t>metadata</t>
    <phoneticPr fontId="1"/>
  </si>
  <si>
    <t>derived</t>
    <phoneticPr fontId="1"/>
  </si>
  <si>
    <t>health system</t>
    <phoneticPr fontId="1"/>
  </si>
  <si>
    <t>vocabularies</t>
  </si>
  <si>
    <t>vocabularies</t>
    <phoneticPr fontId="1"/>
  </si>
  <si>
    <t>clinical</t>
  </si>
  <si>
    <t>clinical</t>
    <phoneticPr fontId="1"/>
  </si>
  <si>
    <t>health economics</t>
    <phoneticPr fontId="1"/>
  </si>
  <si>
    <t>heaelth system</t>
    <phoneticPr fontId="1"/>
  </si>
  <si>
    <t>性別 to  Standard Vocabulary
郵便番号 to location</t>
    <rPh sb="0" eb="2">
      <t>セイベツ</t>
    </rPh>
    <rPh sb="27" eb="31">
      <t>ユウビンバンゴウ</t>
    </rPh>
    <phoneticPr fontId="1"/>
  </si>
  <si>
    <t>データ変換</t>
    <rPh sb="3" eb="5">
      <t>ヘンカン</t>
    </rPh>
    <phoneticPr fontId="1"/>
  </si>
  <si>
    <t>★code conversion</t>
    <phoneticPr fontId="1"/>
  </si>
  <si>
    <t>integer</t>
    <phoneticPr fontId="1"/>
  </si>
  <si>
    <t>measurement_source_value</t>
    <phoneticPr fontId="1"/>
  </si>
  <si>
    <t>source_to_concept_mapからYJコードのconcept_idを取得しセットする</t>
    <rPh sb="40" eb="42">
      <t>シュトク</t>
    </rPh>
    <phoneticPr fontId="1"/>
  </si>
  <si>
    <t>Convert to</t>
    <phoneticPr fontId="1"/>
  </si>
  <si>
    <t>visit_concept_id</t>
  </si>
  <si>
    <t>visit_start_date</t>
  </si>
  <si>
    <t>visit_start_datetime</t>
  </si>
  <si>
    <t>visit_end_date</t>
  </si>
  <si>
    <t>visit_end_datetime</t>
  </si>
  <si>
    <t>visit_type_concept_id</t>
  </si>
  <si>
    <t>visit_source_value</t>
  </si>
  <si>
    <t>visit_source_concept_id</t>
  </si>
  <si>
    <t>admitted_from_concept_id</t>
  </si>
  <si>
    <t>admitted_from_source_value</t>
  </si>
  <si>
    <t>discharged_to_concept_id</t>
  </si>
  <si>
    <t>discharged_to_source_value</t>
  </si>
  <si>
    <t>preceding_visit_occurrence_id</t>
  </si>
  <si>
    <t>VISIT_OCCURENCE</t>
  </si>
  <si>
    <t>https://athena.ohdsi.org/search-terms/terms?domain=Visit&amp;standardConcept=Standard&amp;page=1&amp;pageSize=15&amp;query=</t>
    <phoneticPr fontId="1"/>
  </si>
  <si>
    <t>person_id</t>
    <phoneticPr fontId="1"/>
  </si>
  <si>
    <t>CARE_SITE.
care_site_id</t>
    <phoneticPr fontId="1"/>
  </si>
  <si>
    <t>当該医療機関を示すcare_site_idを固定で登録する</t>
    <rPh sb="0" eb="2">
      <t>トウガイ</t>
    </rPh>
    <rPh sb="2" eb="4">
      <t>イリョウ</t>
    </rPh>
    <rPh sb="4" eb="6">
      <t>キカン</t>
    </rPh>
    <rPh sb="7" eb="8">
      <t>シメ</t>
    </rPh>
    <rPh sb="22" eb="24">
      <t>コテイ</t>
    </rPh>
    <rPh sb="25" eb="27">
      <t>トウロク</t>
    </rPh>
    <phoneticPr fontId="1"/>
  </si>
  <si>
    <t>ADTセグメント識別子をそのまま登録する</t>
    <rPh sb="8" eb="10">
      <t>シキベツ</t>
    </rPh>
    <rPh sb="16" eb="18">
      <t>トウロク</t>
    </rPh>
    <phoneticPr fontId="1"/>
  </si>
  <si>
    <t>ADTセグメント to Standard Vocabulary</t>
    <phoneticPr fontId="1"/>
  </si>
  <si>
    <t>取得元データの単位を登録する。</t>
    <rPh sb="0" eb="2">
      <t>シュトク</t>
    </rPh>
    <rPh sb="2" eb="3">
      <t>モト</t>
    </rPh>
    <rPh sb="7" eb="9">
      <t>タンイ</t>
    </rPh>
    <rPh sb="10" eb="12">
      <t>トウロク</t>
    </rPh>
    <phoneticPr fontId="1"/>
  </si>
  <si>
    <t>CODE</t>
  </si>
  <si>
    <t>CLASS</t>
  </si>
  <si>
    <t>DOMAIN</t>
  </si>
  <si>
    <t>Vocab</t>
  </si>
  <si>
    <t>Admission diagnosis</t>
  </si>
  <si>
    <t>入院時診断</t>
  </si>
  <si>
    <t>Condition Status</t>
  </si>
  <si>
    <t>Cause of death</t>
  </si>
  <si>
    <t>死因</t>
  </si>
  <si>
    <t>Condition to be diagnosed by procedure</t>
  </si>
  <si>
    <t>手術で診断されるべき状態</t>
  </si>
  <si>
    <t>Confirmed diagnosis</t>
  </si>
  <si>
    <t>確定診断</t>
  </si>
  <si>
    <t>Contributory cause of death</t>
  </si>
  <si>
    <t>死因の寄与要因</t>
  </si>
  <si>
    <t>Death diagnosis</t>
  </si>
  <si>
    <t>死亡診断</t>
  </si>
  <si>
    <t>Discharge diagnosis</t>
  </si>
  <si>
    <t>退院時診断</t>
  </si>
  <si>
    <t>Immediate cause of death</t>
  </si>
  <si>
    <t>直接の死因</t>
  </si>
  <si>
    <t>Postoperative diagnosis</t>
  </si>
  <si>
    <t>術後診断</t>
  </si>
  <si>
    <t>Preliminary diagnosis</t>
  </si>
  <si>
    <t>仮診断</t>
  </si>
  <si>
    <t>Preoperative diagnosis</t>
  </si>
  <si>
    <t>術前診断</t>
  </si>
  <si>
    <t>Primary admission diagnosis</t>
  </si>
  <si>
    <t>主入院時診断</t>
  </si>
  <si>
    <t>Primary diagnosis</t>
  </si>
  <si>
    <t>主診断</t>
  </si>
  <si>
    <t>Primary discharge diagnosis</t>
  </si>
  <si>
    <t>主退院時診断</t>
  </si>
  <si>
    <t>Primary referral diagnosis</t>
  </si>
  <si>
    <t>主紹介診断</t>
  </si>
  <si>
    <t>Referral diagnosis</t>
  </si>
  <si>
    <t>紹介診断</t>
  </si>
  <si>
    <t>Resolved condition</t>
  </si>
  <si>
    <t>解決された状態</t>
  </si>
  <si>
    <t>Secondary admission diagnosis</t>
  </si>
  <si>
    <t>副入院時診断</t>
  </si>
  <si>
    <t>Secondary diagnosis</t>
  </si>
  <si>
    <t>副診断</t>
  </si>
  <si>
    <t>Secondary discharge diagnosis</t>
  </si>
  <si>
    <t>副退院時診断</t>
  </si>
  <si>
    <t>Secondary referral diagnosis</t>
  </si>
  <si>
    <t>副紹介診断</t>
  </si>
  <si>
    <t>Underlying cause of death</t>
  </si>
  <si>
    <t>根本的な死因</t>
  </si>
  <si>
    <t>drug_concept_id</t>
    <phoneticPr fontId="1"/>
  </si>
  <si>
    <t>https://athena.ohdsi.org/search-terms/terms?domain=Measurement&amp;standardConcept=Standard&amp;page=1&amp;pageSize=15&amp;query=</t>
    <phoneticPr fontId="1"/>
  </si>
  <si>
    <t>https://athena.ohdsi.org/search-terms/terms?domain=Unit&amp;standardConcept=Standard&amp;page=1&amp;pageSize=15&amp;query=</t>
    <phoneticPr fontId="1"/>
  </si>
  <si>
    <t>YJコード or HOTコード to Standard Vocabulary(RxNome etc)</t>
    <phoneticPr fontId="1"/>
  </si>
  <si>
    <t>臨中標準検査コード(JLAC11) to Standard Vocabulary(SNOMED,LOINC etc)
臨中標準単位コード(JLAC11) to Standard Vocabulary(xxxx etc)</t>
    <rPh sb="0" eb="2">
      <t>リンチュウ</t>
    </rPh>
    <rPh sb="2" eb="4">
      <t>ヒョウジュン</t>
    </rPh>
    <rPh sb="4" eb="6">
      <t>ケンサ</t>
    </rPh>
    <phoneticPr fontId="1"/>
  </si>
  <si>
    <r>
      <rPr>
        <b/>
        <sz val="11"/>
        <color theme="1"/>
        <rFont val="游ゴシック"/>
        <family val="3"/>
        <charset val="128"/>
        <scheme val="minor"/>
      </rPr>
      <t>郵便番号データ</t>
    </r>
    <r>
      <rPr>
        <sz val="11"/>
        <color theme="1"/>
        <rFont val="游ゴシック"/>
        <family val="2"/>
        <charset val="128"/>
        <scheme val="minor"/>
      </rPr>
      <t>CSVから手作業で作成</t>
    </r>
    <rPh sb="0" eb="4">
      <t>ユウビンバンゴウ</t>
    </rPh>
    <rPh sb="12" eb="15">
      <t>テサギョウ</t>
    </rPh>
    <rPh sb="16" eb="18">
      <t>サクセイ</t>
    </rPh>
    <phoneticPr fontId="1"/>
  </si>
  <si>
    <t>・YJコード or HOTコード to Standard 
・臨中標準検査ード(JLAC11) to Standard Vocabulary
・臨中標準単位コード(JLAC11) to Standard Vocabulary
・ICD10(Non Standard) to Standard Vocabulary
etc to Standard Vocabulary</t>
    <rPh sb="33" eb="35">
      <t>ヒョウジュン</t>
    </rPh>
    <rPh sb="35" eb="37">
      <t>ケンサ</t>
    </rPh>
    <phoneticPr fontId="1"/>
  </si>
  <si>
    <r>
      <rPr>
        <b/>
        <sz val="11"/>
        <color theme="1"/>
        <rFont val="游ゴシック"/>
        <family val="3"/>
        <charset val="128"/>
        <scheme val="minor"/>
      </rPr>
      <t>臨中ネット参加施設</t>
    </r>
    <r>
      <rPr>
        <sz val="11"/>
        <color theme="1"/>
        <rFont val="游ゴシック"/>
        <family val="2"/>
        <charset val="128"/>
        <scheme val="minor"/>
      </rPr>
      <t>を手作業で作成</t>
    </r>
    <rPh sb="0" eb="1">
      <t>ノゾ</t>
    </rPh>
    <rPh sb="1" eb="2">
      <t>ナカ</t>
    </rPh>
    <rPh sb="5" eb="7">
      <t>サンカ</t>
    </rPh>
    <rPh sb="7" eb="9">
      <t>シセツ</t>
    </rPh>
    <rPh sb="10" eb="13">
      <t>テサギョウ</t>
    </rPh>
    <rPh sb="14" eb="16">
      <t>サクセイ</t>
    </rPh>
    <phoneticPr fontId="1"/>
  </si>
  <si>
    <t>日本固有コードセットをStandard Vocabularyに変換するためのマッピングテーブルを整備</t>
    <rPh sb="0" eb="2">
      <t>ニホン</t>
    </rPh>
    <rPh sb="2" eb="4">
      <t>コユウ</t>
    </rPh>
    <rPh sb="31" eb="33">
      <t>ヘンカン</t>
    </rPh>
    <rPh sb="48" eb="50">
      <t>セイビ</t>
    </rPh>
    <phoneticPr fontId="1"/>
  </si>
  <si>
    <t>大阪大学医学部附属病院</t>
  </si>
  <si>
    <t>京都大学医学部附属病院</t>
  </si>
  <si>
    <t>慶應義塾大学病院　</t>
  </si>
  <si>
    <t>名古屋大学医学部附属病院</t>
  </si>
  <si>
    <t>神戸大学医学部附属病院</t>
  </si>
  <si>
    <t>岡山大学病院</t>
  </si>
  <si>
    <t>九州大学病院</t>
  </si>
  <si>
    <t>4329983(SNOMED Location)</t>
    <phoneticPr fontId="1"/>
  </si>
  <si>
    <t>医薬品：YJコード
検査：JLAC10or11コード
傷病名：ICD10コード(日本固有のみ)</t>
    <rPh sb="0" eb="3">
      <t>イヤクヒン</t>
    </rPh>
    <rPh sb="10" eb="12">
      <t>ケンサ</t>
    </rPh>
    <rPh sb="27" eb="30">
      <t>ショウビョウメイ</t>
    </rPh>
    <rPh sb="40" eb="42">
      <t>ニホン</t>
    </rPh>
    <rPh sb="42" eb="44">
      <t>コユウ</t>
    </rPh>
    <phoneticPr fontId="1"/>
  </si>
  <si>
    <t>121</t>
  </si>
  <si>
    <t>231</t>
  </si>
  <si>
    <t>261</t>
  </si>
  <si>
    <t>271</t>
  </si>
  <si>
    <t>331</t>
  </si>
  <si>
    <t>device_exposure</t>
    <phoneticPr fontId="1"/>
  </si>
  <si>
    <r>
      <rPr>
        <b/>
        <sz val="11"/>
        <color theme="1"/>
        <rFont val="游ゴシック"/>
        <family val="3"/>
        <charset val="128"/>
        <scheme val="minor"/>
      </rPr>
      <t>PatientDisease</t>
    </r>
    <r>
      <rPr>
        <sz val="11"/>
        <color theme="1"/>
        <rFont val="游ゴシック"/>
        <family val="2"/>
        <charset val="128"/>
        <scheme val="minor"/>
      </rPr>
      <t>からSQLでデータ生成</t>
    </r>
    <rPh sb="23" eb="25">
      <t>セイセイ</t>
    </rPh>
    <phoneticPr fontId="1"/>
  </si>
  <si>
    <r>
      <rPr>
        <b/>
        <sz val="11"/>
        <color theme="1"/>
        <rFont val="游ゴシック"/>
        <family val="3"/>
        <charset val="128"/>
        <scheme val="minor"/>
      </rPr>
      <t>PrescriptionDataとInjectionData</t>
    </r>
    <r>
      <rPr>
        <sz val="11"/>
        <color theme="1"/>
        <rFont val="游ゴシック"/>
        <family val="2"/>
        <charset val="128"/>
        <scheme val="minor"/>
      </rPr>
      <t>からSQLでデータ生成</t>
    </r>
    <phoneticPr fontId="1"/>
  </si>
  <si>
    <r>
      <rPr>
        <b/>
        <sz val="11"/>
        <color theme="1"/>
        <rFont val="游ゴシック"/>
        <family val="3"/>
        <charset val="128"/>
        <scheme val="minor"/>
      </rPr>
      <t>ObservationResult</t>
    </r>
    <r>
      <rPr>
        <sz val="11"/>
        <color theme="1"/>
        <rFont val="游ゴシック"/>
        <family val="2"/>
        <charset val="128"/>
        <scheme val="minor"/>
      </rPr>
      <t>からSQLでデータ生成</t>
    </r>
    <phoneticPr fontId="1"/>
  </si>
  <si>
    <r>
      <rPr>
        <b/>
        <sz val="11"/>
        <color theme="1"/>
        <rFont val="游ゴシック"/>
        <family val="3"/>
        <charset val="128"/>
        <scheme val="minor"/>
      </rPr>
      <t>PatientIdentificationとPatientAddress</t>
    </r>
    <r>
      <rPr>
        <sz val="11"/>
        <color theme="1"/>
        <rFont val="游ゴシック"/>
        <family val="2"/>
        <charset val="128"/>
        <scheme val="minor"/>
      </rPr>
      <t>からSQLでデータ生成</t>
    </r>
    <phoneticPr fontId="1"/>
  </si>
  <si>
    <r>
      <rPr>
        <b/>
        <sz val="11"/>
        <color theme="1"/>
        <rFont val="游ゴシック"/>
        <family val="3"/>
        <charset val="128"/>
        <scheme val="minor"/>
      </rPr>
      <t>PatientVisit</t>
    </r>
    <r>
      <rPr>
        <sz val="11"/>
        <color theme="1"/>
        <rFont val="游ゴシック"/>
        <family val="2"/>
        <charset val="128"/>
        <scheme val="minor"/>
      </rPr>
      <t>からSQLでデータ生成</t>
    </r>
    <phoneticPr fontId="1"/>
  </si>
  <si>
    <t>Observation Result.
OBX_CD_S</t>
    <phoneticPr fontId="1"/>
  </si>
  <si>
    <t>Observation Result.
SCH_OBX_VALUE_S</t>
    <phoneticPr fontId="1"/>
  </si>
  <si>
    <t>Observation Result.
OBX_UNIT_S</t>
    <phoneticPr fontId="1"/>
  </si>
  <si>
    <t xml:space="preserve">標準検査コード(JLAC11)をsource_to_concept_mapを介してSNOMED,LOINC他のStandard Vocabularyに変換する
</t>
    <rPh sb="38" eb="39">
      <t>カイ</t>
    </rPh>
    <rPh sb="53" eb="54">
      <t>タ</t>
    </rPh>
    <rPh sb="75" eb="77">
      <t>ヘンカン</t>
    </rPh>
    <phoneticPr fontId="1"/>
  </si>
  <si>
    <t>Prescription Data.
PRES_DISPENSE_AMOUNT</t>
    <phoneticPr fontId="1"/>
  </si>
  <si>
    <t>Injection Data.
INJ_ROUTE</t>
    <phoneticPr fontId="1"/>
  </si>
  <si>
    <t>Injection Data.
INJ_MEDICINE_CD_YJ</t>
    <phoneticPr fontId="1"/>
  </si>
  <si>
    <t>Injection Data.
INJ_ADMINISTERED_AMOUNT</t>
    <phoneticPr fontId="1"/>
  </si>
  <si>
    <t>condition_concept_id</t>
    <phoneticPr fontId="1"/>
  </si>
  <si>
    <t>condition_type_concept_id</t>
    <phoneticPr fontId="1"/>
  </si>
  <si>
    <t>condition_source_concept_id</t>
    <phoneticPr fontId="1"/>
  </si>
  <si>
    <t>measurement_concept_id</t>
    <phoneticPr fontId="1"/>
  </si>
  <si>
    <t>measurement_type_concept_id</t>
    <phoneticPr fontId="1"/>
  </si>
  <si>
    <t>operator_concept_id</t>
    <phoneticPr fontId="1"/>
  </si>
  <si>
    <t>value_as_concept_id</t>
    <phoneticPr fontId="1"/>
  </si>
  <si>
    <t>unit_concept_id</t>
    <phoneticPr fontId="1"/>
  </si>
  <si>
    <t>measurement_source_concept_id</t>
    <phoneticPr fontId="1"/>
  </si>
  <si>
    <t>unit_source_concept_id</t>
    <phoneticPr fontId="1"/>
  </si>
  <si>
    <t>meas_event_field_concept_id</t>
    <phoneticPr fontId="1"/>
  </si>
  <si>
    <t>gender_concept_id</t>
    <phoneticPr fontId="1"/>
  </si>
  <si>
    <t>race_concept_id</t>
    <phoneticPr fontId="1"/>
  </si>
  <si>
    <t>gender_source_concept_id</t>
    <phoneticPr fontId="1"/>
  </si>
  <si>
    <t>race_source_concept_id</t>
    <phoneticPr fontId="1"/>
  </si>
  <si>
    <t>https://www.iryokikan.info/</t>
    <phoneticPr fontId="1"/>
  </si>
  <si>
    <t>12-1-9210014:千葉大学医学部附属病院</t>
  </si>
  <si>
    <t>26-1-9900042:京都大学医学部附属病院</t>
  </si>
  <si>
    <t>28-1-9900099:神戸大学医学部附属病院</t>
  </si>
  <si>
    <t>33-1-9800011:岡山大学病院</t>
  </si>
  <si>
    <t>40-1-9819897:九州大学病院</t>
  </si>
  <si>
    <t>42-1-8010132:長崎大学病院</t>
  </si>
  <si>
    <t>34-1-8010017:広島大学病院</t>
  </si>
  <si>
    <t>臨床研究中核病院(16)</t>
    <phoneticPr fontId="1"/>
  </si>
  <si>
    <t>https://www.mhlw.go.jp/stf/seisakunitsuite/bunya/tyukaku.html</t>
    <phoneticPr fontId="1"/>
  </si>
  <si>
    <t>PatientVisit.
PV_ADTSEGMENT</t>
    <phoneticPr fontId="1"/>
  </si>
  <si>
    <t>PatientVisit.
PV_ADMIT_DATE</t>
    <phoneticPr fontId="1"/>
  </si>
  <si>
    <t>PatientVisit.
PV_DISCHARGE_DATE</t>
    <phoneticPr fontId="1"/>
  </si>
  <si>
    <t>PatientVisit.
DEPT_CD_S</t>
    <phoneticPr fontId="1"/>
  </si>
  <si>
    <t>当該標準診療科コードを示すprovider_idを取得して登録する</t>
    <rPh sb="0" eb="2">
      <t>トウガイ</t>
    </rPh>
    <rPh sb="2" eb="4">
      <t>ヒョウジュン</t>
    </rPh>
    <rPh sb="4" eb="7">
      <t>シンリョウカ</t>
    </rPh>
    <rPh sb="11" eb="12">
      <t>シメ</t>
    </rPh>
    <rPh sb="25" eb="27">
      <t>シュトク</t>
    </rPh>
    <rPh sb="29" eb="31">
      <t>トウロク</t>
    </rPh>
    <phoneticPr fontId="1"/>
  </si>
  <si>
    <t>visit_concept_idと同じ値を登録する</t>
    <rPh sb="17" eb="18">
      <t>オナ</t>
    </rPh>
    <rPh sb="19" eb="20">
      <t>アタイ</t>
    </rPh>
    <rPh sb="21" eb="23">
      <t>トウロク</t>
    </rPh>
    <phoneticPr fontId="1"/>
  </si>
  <si>
    <r>
      <rPr>
        <b/>
        <sz val="11"/>
        <color theme="1"/>
        <rFont val="游ゴシック"/>
        <family val="3"/>
        <charset val="128"/>
        <scheme val="minor"/>
      </rPr>
      <t>SSMIX標準SS-MIX2 統一診療科コード表</t>
    </r>
    <r>
      <rPr>
        <sz val="11"/>
        <color theme="1"/>
        <rFont val="游ゴシック"/>
        <family val="2"/>
        <charset val="128"/>
        <scheme val="minor"/>
      </rPr>
      <t>を手作業で作成</t>
    </r>
    <rPh sb="5" eb="7">
      <t>ヒョウジュン</t>
    </rPh>
    <rPh sb="25" eb="28">
      <t>テサギョウ</t>
    </rPh>
    <rPh sb="29" eb="31">
      <t>サクセイ</t>
    </rPh>
    <phoneticPr fontId="1"/>
  </si>
  <si>
    <t>標準診療科コードと診療科名を登録</t>
    <rPh sb="0" eb="2">
      <t>ヒョウジュン</t>
    </rPh>
    <rPh sb="2" eb="5">
      <t>シンリョウカ</t>
    </rPh>
    <rPh sb="9" eb="13">
      <t>シンリョウカメイ</t>
    </rPh>
    <rPh sb="14" eb="16">
      <t>トウロク</t>
    </rPh>
    <phoneticPr fontId="1"/>
  </si>
  <si>
    <t>ETL</t>
  </si>
  <si>
    <t>ADTセグメント to Standard Vocabulary</t>
  </si>
  <si>
    <t>location_source_value</t>
    <phoneticPr fontId="1"/>
  </si>
  <si>
    <t>place_of_service_concept_id</t>
    <phoneticPr fontId="1"/>
  </si>
  <si>
    <t>固定変換
F：8532
M：8507</t>
    <rPh sb="0" eb="2">
      <t>コテイ</t>
    </rPh>
    <rPh sb="2" eb="4">
      <t>ヘンカン</t>
    </rPh>
    <phoneticPr fontId="1"/>
  </si>
  <si>
    <t>0固定</t>
    <rPh sb="1" eb="3">
      <t>コテイ</t>
    </rPh>
    <phoneticPr fontId="1"/>
  </si>
  <si>
    <t>SSMIX標準DBにカラムはあるがデータはないのでセット不可だが NOT Nullカラムのため０固定</t>
    <rPh sb="5" eb="7">
      <t>ヒョウジュン</t>
    </rPh>
    <rPh sb="28" eb="30">
      <t>フカ</t>
    </rPh>
    <rPh sb="48" eb="50">
      <t>コテイ</t>
    </rPh>
    <phoneticPr fontId="1"/>
  </si>
  <si>
    <t>care_siteに医療機関番号を登録し、そのcare_site_idを登録する
（施設ごとのETLではその施設固定値となるが、医科と歯科で医療機関番号異なる場合は考慮が必要）</t>
    <rPh sb="10" eb="12">
      <t>イリョウ</t>
    </rPh>
    <rPh sb="12" eb="14">
      <t>キカン</t>
    </rPh>
    <rPh sb="14" eb="16">
      <t>バンゴウ</t>
    </rPh>
    <rPh sb="17" eb="19">
      <t>トウロク</t>
    </rPh>
    <rPh sb="36" eb="38">
      <t>トウロク</t>
    </rPh>
    <rPh sb="42" eb="44">
      <t>シセツ</t>
    </rPh>
    <rPh sb="54" eb="56">
      <t>シセツ</t>
    </rPh>
    <rPh sb="56" eb="59">
      <t>コテイチ</t>
    </rPh>
    <rPh sb="64" eb="66">
      <t>イカ</t>
    </rPh>
    <rPh sb="67" eb="69">
      <t>シカ</t>
    </rPh>
    <rPh sb="70" eb="76">
      <t>イリョウキカンバンゴウ</t>
    </rPh>
    <rPh sb="76" eb="77">
      <t>コト</t>
    </rPh>
    <rPh sb="79" eb="81">
      <t>バアイ</t>
    </rPh>
    <rPh sb="82" eb="84">
      <t>コウリョ</t>
    </rPh>
    <rPh sb="85" eb="87">
      <t>ヒツヨウ</t>
    </rPh>
    <phoneticPr fontId="1"/>
  </si>
  <si>
    <t>固定(抽出対象医療機関に該当するcare_site_id)</t>
    <rPh sb="0" eb="2">
      <t>コテイ</t>
    </rPh>
    <rPh sb="3" eb="5">
      <t>チュウシュツ</t>
    </rPh>
    <rPh sb="5" eb="7">
      <t>タイショウ</t>
    </rPh>
    <rPh sb="7" eb="9">
      <t>イリョウ</t>
    </rPh>
    <rPh sb="9" eb="11">
      <t>キカン</t>
    </rPh>
    <rPh sb="12" eb="14">
      <t>ガイトウ</t>
    </rPh>
    <phoneticPr fontId="1"/>
  </si>
  <si>
    <t>Patient Identification.
PATIENT_ID</t>
    <phoneticPr fontId="1"/>
  </si>
  <si>
    <t>性別をそのまま登録する（男性、女性以外の性別が登録されている場合もそのまま）</t>
    <rPh sb="0" eb="2">
      <t>セイベツ</t>
    </rPh>
    <rPh sb="7" eb="9">
      <t>トウロク</t>
    </rPh>
    <rPh sb="12" eb="14">
      <t>ダンセイ</t>
    </rPh>
    <rPh sb="15" eb="17">
      <t>ジョセイ</t>
    </rPh>
    <rPh sb="17" eb="19">
      <t>イガイ</t>
    </rPh>
    <rPh sb="20" eb="22">
      <t>セイベツ</t>
    </rPh>
    <rPh sb="23" eb="25">
      <t>トウロク</t>
    </rPh>
    <rPh sb="30" eb="32">
      <t>バアイ</t>
    </rPh>
    <phoneticPr fontId="1"/>
  </si>
  <si>
    <t>一意の連番を設定する</t>
    <rPh sb="0" eb="2">
      <t>イチイ</t>
    </rPh>
    <rPh sb="3" eb="5">
      <t>レンバン</t>
    </rPh>
    <rPh sb="6" eb="8">
      <t>セッテイ</t>
    </rPh>
    <phoneticPr fontId="1"/>
  </si>
  <si>
    <t>Generate</t>
    <phoneticPr fontId="1"/>
  </si>
  <si>
    <t>PatientVisit.
PATIENT_ID</t>
    <phoneticPr fontId="1"/>
  </si>
  <si>
    <t>person.person_source_valueと結合してperson_idを取得・登録する</t>
    <rPh sb="27" eb="29">
      <t>ケツゴウ</t>
    </rPh>
    <rPh sb="41" eb="43">
      <t>シュトク</t>
    </rPh>
    <rPh sb="44" eb="46">
      <t>トウロク</t>
    </rPh>
    <phoneticPr fontId="1"/>
  </si>
  <si>
    <t>PatientVisit.
PV_ADMIT_DATE+PV_ADMIT_TIME</t>
    <phoneticPr fontId="1"/>
  </si>
  <si>
    <t>PatientVisit.
PV_DISCHARGE_DATE+PV_DISCHARGE_TIME</t>
    <phoneticPr fontId="1"/>
  </si>
  <si>
    <t>ADTセグメント識別子をもとに、以下のイベントに該当するVisitのStandard Vocabularyに変換する
外来診察の受付：ADT^A04^ADT_A01
→9202: Outpatient Visit
入院実施：ADT^A01^ADT_A01
→9201: Inpatient Visit
退院実施 ：ADT^A03^ADT_A03
→（入院のイベントレコードに集約するため対象外）
転科・転棟実施：ADT^A02^ADT_A02
→（Visit_occurrence対象外）
外出泊実施：ADT^A21^ADT_A21
→（Visit_occurrence対象外）
外出泊帰院実施：ADT^A22^ADT_A21
→（Visit_occurrence対象外）</t>
    <rPh sb="8" eb="10">
      <t>シキベツ</t>
    </rPh>
    <rPh sb="16" eb="18">
      <t>イカ</t>
    </rPh>
    <rPh sb="24" eb="26">
      <t>ガイトウ</t>
    </rPh>
    <rPh sb="54" eb="56">
      <t>ヘンカン</t>
    </rPh>
    <rPh sb="240" eb="243">
      <t>タイショウガイ</t>
    </rPh>
    <phoneticPr fontId="1"/>
  </si>
  <si>
    <t>外来受診入院実施日（外来受診の場合は来院日時の日付、入院の場合は入院日時の日付）をそのまま登録する</t>
    <rPh sb="0" eb="4">
      <t>ガイライジュシン</t>
    </rPh>
    <rPh sb="4" eb="9">
      <t>ニュウインジッシビ</t>
    </rPh>
    <rPh sb="45" eb="47">
      <t>トウロク</t>
    </rPh>
    <phoneticPr fontId="1"/>
  </si>
  <si>
    <t>外来受診入院実施日と外来受診入院実施時刻を連結して登録する</t>
    <rPh sb="0" eb="2">
      <t>ガイライ</t>
    </rPh>
    <rPh sb="2" eb="4">
      <t>ジュシン</t>
    </rPh>
    <rPh sb="4" eb="6">
      <t>ニュウイン</t>
    </rPh>
    <rPh sb="6" eb="9">
      <t>ジッシビ</t>
    </rPh>
    <rPh sb="10" eb="12">
      <t>ガイライ</t>
    </rPh>
    <rPh sb="12" eb="14">
      <t>ジュシン</t>
    </rPh>
    <rPh sb="14" eb="16">
      <t>ニュウイン</t>
    </rPh>
    <rPh sb="16" eb="18">
      <t>ジッシ</t>
    </rPh>
    <rPh sb="18" eb="20">
      <t>ジコク</t>
    </rPh>
    <rPh sb="21" eb="23">
      <t>レンケツ</t>
    </rPh>
    <rPh sb="25" eb="27">
      <t>トウロク</t>
    </rPh>
    <phoneticPr fontId="1"/>
  </si>
  <si>
    <t>32817（EHR）固定とする</t>
    <phoneticPr fontId="1"/>
  </si>
  <si>
    <t>PatientVisit.
PV_DISCHARGE_CD_L</t>
    <phoneticPr fontId="1"/>
  </si>
  <si>
    <t>退院区分に対応するstandard conceptに変換して登録する</t>
    <rPh sb="5" eb="7">
      <t>タイオウ</t>
    </rPh>
    <rPh sb="26" eb="28">
      <t>ヘンカン</t>
    </rPh>
    <rPh sb="30" eb="32">
      <t>トウロク</t>
    </rPh>
    <phoneticPr fontId="1"/>
  </si>
  <si>
    <t>退院区分をそのまま登録する。</t>
    <rPh sb="0" eb="2">
      <t>タイイン</t>
    </rPh>
    <rPh sb="2" eb="4">
      <t>クブン</t>
    </rPh>
    <rPh sb="9" eb="11">
      <t>トウロク</t>
    </rPh>
    <phoneticPr fontId="1"/>
  </si>
  <si>
    <t>Patient Disease.DIS_OUTCOME_CD</t>
    <phoneticPr fontId="1"/>
  </si>
  <si>
    <t>病名開始日ををのまま登録する</t>
    <rPh sb="0" eb="2">
      <t>ビョウメイ</t>
    </rPh>
    <rPh sb="2" eb="5">
      <t>カイシビ</t>
    </rPh>
    <rPh sb="10" eb="12">
      <t>トウロク</t>
    </rPh>
    <phoneticPr fontId="1"/>
  </si>
  <si>
    <t>Patient Disease.
DIS_CLASSIFICATION_CD
+DIS_SUSPECT_CD</t>
    <phoneticPr fontId="1"/>
  </si>
  <si>
    <t>主診断フラグおよび疑いフラグをもとにStandard Vocabularyに変換する
（疑いフラグ優先、次に主診断フラグ）</t>
    <rPh sb="44" eb="45">
      <t>ウタガ</t>
    </rPh>
    <rPh sb="49" eb="51">
      <t>ユウセン</t>
    </rPh>
    <rPh sb="52" eb="53">
      <t>ツギ</t>
    </rPh>
    <rPh sb="54" eb="57">
      <t>シュシンダン</t>
    </rPh>
    <phoneticPr fontId="1"/>
  </si>
  <si>
    <t>Patient Disease.
DIS_MANAGEMENT_CD+ICD10_CD+DIS_NAME</t>
    <phoneticPr fontId="1"/>
  </si>
  <si>
    <t>主診断フラグ|疑いフラグの形式に編集してどちらの値も判読可能な値として登録する</t>
    <rPh sb="0" eb="1">
      <t>シュ</t>
    </rPh>
    <rPh sb="1" eb="3">
      <t>シンダン</t>
    </rPh>
    <rPh sb="7" eb="8">
      <t>ウタガ</t>
    </rPh>
    <rPh sb="13" eb="15">
      <t>ケイシキ</t>
    </rPh>
    <rPh sb="16" eb="18">
      <t>ヘンシュウ</t>
    </rPh>
    <rPh sb="24" eb="25">
      <t>アタイ</t>
    </rPh>
    <rPh sb="26" eb="28">
      <t>ハンドク</t>
    </rPh>
    <rPh sb="28" eb="30">
      <t>カノウ</t>
    </rPh>
    <rPh sb="31" eb="32">
      <t>アタイ</t>
    </rPh>
    <rPh sb="35" eb="37">
      <t>トウロク</t>
    </rPh>
    <phoneticPr fontId="1"/>
  </si>
  <si>
    <t>Patient Disease.
DIS_START_DATE</t>
    <phoneticPr fontId="1"/>
  </si>
  <si>
    <t>投薬開始日をそのまま登録する</t>
    <rPh sb="0" eb="2">
      <t>トウヤク</t>
    </rPh>
    <rPh sb="2" eb="5">
      <t>カイシビ</t>
    </rPh>
    <rPh sb="10" eb="12">
      <t>トウロク</t>
    </rPh>
    <phoneticPr fontId="1"/>
  </si>
  <si>
    <t>Prescription Data.
SCH_PRES_END_DATE
または
SCH_PRES_START_DATE+PRES_PERIOD</t>
    <phoneticPr fontId="1"/>
  </si>
  <si>
    <t>投薬終了日が有効な日付の場合はそのまま登録する。有効な日付でない場合は投薬開始日に投与日数を加算して投薬終了日を導出する</t>
    <rPh sb="0" eb="2">
      <t>トウヤク</t>
    </rPh>
    <rPh sb="2" eb="5">
      <t>シュウリョウビ</t>
    </rPh>
    <rPh sb="6" eb="8">
      <t>ユウコウ</t>
    </rPh>
    <rPh sb="9" eb="11">
      <t>ヒヅケ</t>
    </rPh>
    <rPh sb="12" eb="14">
      <t>バアイ</t>
    </rPh>
    <rPh sb="19" eb="21">
      <t>トウロク</t>
    </rPh>
    <rPh sb="24" eb="26">
      <t>ユウコウ</t>
    </rPh>
    <rPh sb="27" eb="29">
      <t>ヒヅケ</t>
    </rPh>
    <rPh sb="32" eb="34">
      <t>バアイ</t>
    </rPh>
    <rPh sb="46" eb="48">
      <t>カサン</t>
    </rPh>
    <rPh sb="50" eb="52">
      <t>トウヤク</t>
    </rPh>
    <rPh sb="52" eb="55">
      <t>シュウリョウビ</t>
    </rPh>
    <rPh sb="56" eb="58">
      <t>ドウシュツ</t>
    </rPh>
    <phoneticPr fontId="1"/>
  </si>
  <si>
    <t>調剤量をそのままセットする</t>
    <rPh sb="0" eb="2">
      <t>チョウザイ</t>
    </rPh>
    <rPh sb="2" eb="3">
      <t>リョウ</t>
    </rPh>
    <phoneticPr fontId="1"/>
  </si>
  <si>
    <t>投与日数をそのままセットする</t>
    <rPh sb="0" eb="2">
      <t>トウヨ</t>
    </rPh>
    <rPh sb="2" eb="4">
      <t>ニッスウ</t>
    </rPh>
    <phoneticPr fontId="1"/>
  </si>
  <si>
    <t>Prescription Data.
DEPT_CD_S</t>
    <phoneticPr fontId="1"/>
  </si>
  <si>
    <t>Patient Disease.
DEPT_CD_S</t>
    <phoneticPr fontId="1"/>
  </si>
  <si>
    <t>source_to_concept_mapからYJコードのsource_concept_idを取得しセットする</t>
    <rPh sb="47" eb="49">
      <t>シュトク</t>
    </rPh>
    <phoneticPr fontId="1"/>
  </si>
  <si>
    <t>投薬経路をsource_to_concept_mapを介してStandard Vocabularyに変換する</t>
    <phoneticPr fontId="1"/>
  </si>
  <si>
    <t>投薬開始日＋投薬開始時刻を登録する</t>
    <rPh sb="0" eb="2">
      <t>トウヤク</t>
    </rPh>
    <rPh sb="2" eb="5">
      <t>カイシビ</t>
    </rPh>
    <rPh sb="13" eb="15">
      <t>トウロク</t>
    </rPh>
    <phoneticPr fontId="1"/>
  </si>
  <si>
    <t>Injection Data.
INJ_START_DATE</t>
    <phoneticPr fontId="1"/>
  </si>
  <si>
    <t>Injection Data.
INJ_START_DATE+INJ_START_TIME</t>
    <phoneticPr fontId="1"/>
  </si>
  <si>
    <t>投薬量をそのままセットする</t>
    <rPh sb="0" eb="2">
      <t>トウヤク</t>
    </rPh>
    <rPh sb="2" eb="3">
      <t>リョウ</t>
    </rPh>
    <phoneticPr fontId="1"/>
  </si>
  <si>
    <t>Injection Data.
INJ_ROUTE</t>
    <phoneticPr fontId="1"/>
  </si>
  <si>
    <t>Observation Result.
SPM_COLLECT_DATE＋SPM_COLLECT_TIME</t>
    <phoneticPr fontId="1"/>
  </si>
  <si>
    <t>検体採取日をそのまま登録する</t>
    <rPh sb="0" eb="2">
      <t>ケンタイ</t>
    </rPh>
    <rPh sb="2" eb="4">
      <t>サイシュ</t>
    </rPh>
    <rPh sb="4" eb="5">
      <t>ビ</t>
    </rPh>
    <rPh sb="10" eb="12">
      <t>トウロク</t>
    </rPh>
    <phoneticPr fontId="1"/>
  </si>
  <si>
    <t>検体採取日＋検体採取時刻を登録する</t>
    <rPh sb="0" eb="2">
      <t>ケンタイ</t>
    </rPh>
    <rPh sb="2" eb="4">
      <t>サイシュ</t>
    </rPh>
    <rPh sb="4" eb="5">
      <t>ビ</t>
    </rPh>
    <rPh sb="13" eb="15">
      <t>トウロク</t>
    </rPh>
    <phoneticPr fontId="1"/>
  </si>
  <si>
    <t>検体採取時刻をそのまま登録する</t>
    <rPh sb="11" eb="13">
      <t>トウロク</t>
    </rPh>
    <phoneticPr fontId="1"/>
  </si>
  <si>
    <t>Observation Result.
OBX_VALUE_L</t>
    <phoneticPr fontId="1"/>
  </si>
  <si>
    <t>検査結果値をsource_to_concept_mapを介してStandard Vocabularyに変換する</t>
    <rPh sb="0" eb="2">
      <t>ケンサ</t>
    </rPh>
    <rPh sb="2" eb="4">
      <t>ケッカ</t>
    </rPh>
    <rPh sb="4" eb="5">
      <t>アタイ</t>
    </rPh>
    <phoneticPr fontId="1"/>
  </si>
  <si>
    <t>標準単位をsource_to_concept_mapを介してStandard Vocabularyに変換する</t>
    <rPh sb="0" eb="2">
      <t>ヒョウジュン</t>
    </rPh>
    <rPh sb="2" eb="4">
      <t>タンイ</t>
    </rPh>
    <phoneticPr fontId="1"/>
  </si>
  <si>
    <t>正常値上限をそのまま登録する</t>
    <rPh sb="0" eb="3">
      <t>セイジョウチ</t>
    </rPh>
    <rPh sb="3" eb="5">
      <t>ジョウゲン</t>
    </rPh>
    <rPh sb="10" eb="12">
      <t>トウロク</t>
    </rPh>
    <phoneticPr fontId="1"/>
  </si>
  <si>
    <t>正常値下限をそのまま登録する</t>
    <rPh sb="10" eb="12">
      <t>トウロク</t>
    </rPh>
    <phoneticPr fontId="1"/>
  </si>
  <si>
    <t>Observation Result.
DEPT_CD_S</t>
    <phoneticPr fontId="1"/>
  </si>
  <si>
    <t>Injection Data.
DEPT_CD_S</t>
    <phoneticPr fontId="1"/>
  </si>
  <si>
    <t>標準単位をsource_to_concept_mapを介してsource_concept_idに変換する</t>
    <rPh sb="0" eb="2">
      <t>ヒョウジュン</t>
    </rPh>
    <rPh sb="2" eb="4">
      <t>タンイ</t>
    </rPh>
    <phoneticPr fontId="1"/>
  </si>
  <si>
    <t>source_to_concept_mapから検査項目標準コード(JLAC11)のsource_concept_idを取得しセットする</t>
    <rPh sb="23" eb="25">
      <t>ケンサ</t>
    </rPh>
    <rPh sb="25" eb="27">
      <t>コウモク</t>
    </rPh>
    <rPh sb="27" eb="29">
      <t>ヒョウジュン</t>
    </rPh>
    <rPh sb="59" eb="61">
      <t>シュトク</t>
    </rPh>
    <phoneticPr fontId="1"/>
  </si>
  <si>
    <t>検査結果値そのままを登録する。</t>
    <rPh sb="0" eb="2">
      <t>ケンサ</t>
    </rPh>
    <rPh sb="2" eb="4">
      <t>ケッカ</t>
    </rPh>
    <rPh sb="4" eb="5">
      <t>アタイ</t>
    </rPh>
    <rPh sb="10" eb="12">
      <t>トウロク</t>
    </rPh>
    <phoneticPr fontId="1"/>
  </si>
  <si>
    <t>PV_ADTSEGMENT='ADT^A01^ADT_A01'(入院実施)に続く’退院実施 ：ADT^A03^ADT_A03’(退院実施)のレコードがあれば、そのレコードの退院実施日をそのまま登録する</t>
    <rPh sb="32" eb="34">
      <t>ニュウイン</t>
    </rPh>
    <rPh sb="34" eb="36">
      <t>ジッシ</t>
    </rPh>
    <rPh sb="38" eb="39">
      <t>ツヅ</t>
    </rPh>
    <rPh sb="62" eb="68">
      <t>'(タイインジッシ</t>
    </rPh>
    <rPh sb="86" eb="88">
      <t>タイイン</t>
    </rPh>
    <rPh sb="88" eb="90">
      <t>ジッシ</t>
    </rPh>
    <rPh sb="90" eb="91">
      <t>ビ</t>
    </rPh>
    <rPh sb="96" eb="98">
      <t>トウロク</t>
    </rPh>
    <phoneticPr fontId="1"/>
  </si>
  <si>
    <t>PV_ADTSEGMENT='ADT^A01^ADT_A01'(入院実施)に続く’退院実施 ：ADT^A03^ADT_A03’(退院実施)のレコードがあれば、そのレコードの退院実施日と退院実施時刻をそのまま登録する</t>
    <rPh sb="86" eb="88">
      <t>タイイン</t>
    </rPh>
    <rPh sb="88" eb="90">
      <t>ジッシ</t>
    </rPh>
    <rPh sb="90" eb="91">
      <t>ビ</t>
    </rPh>
    <rPh sb="96" eb="98">
      <t>ジコク</t>
    </rPh>
    <rPh sb="103" eb="105">
      <t>トウロク</t>
    </rPh>
    <phoneticPr fontId="1"/>
  </si>
  <si>
    <t>VISIT_DETAIL</t>
    <phoneticPr fontId="1"/>
  </si>
  <si>
    <t>DEATH</t>
    <phoneticPr fontId="1"/>
  </si>
  <si>
    <t>death_date</t>
  </si>
  <si>
    <t>death_datetime</t>
  </si>
  <si>
    <t>death_type_concept_id</t>
  </si>
  <si>
    <t>cause_concept_id</t>
  </si>
  <si>
    <t>cause_source_value</t>
  </si>
  <si>
    <t>cause_source_concept_id</t>
  </si>
  <si>
    <t>visit_detail_concept_id</t>
  </si>
  <si>
    <t>visit_detail_start_date</t>
  </si>
  <si>
    <t>visit_detail_start_datetime</t>
  </si>
  <si>
    <t>visit_detail_end_date</t>
  </si>
  <si>
    <t>visit_detail_end_datetime</t>
  </si>
  <si>
    <t>visit_detail_type_concept_id</t>
  </si>
  <si>
    <t>visit_detail_source_value</t>
  </si>
  <si>
    <t>visit_detail_source_concept_id</t>
  </si>
  <si>
    <t>preceding_visit_detail_id</t>
  </si>
  <si>
    <t>parent_visit_detail_id</t>
  </si>
  <si>
    <t>Map To</t>
    <phoneticPr fontId="1"/>
  </si>
  <si>
    <t>ADTセグメント識別子をもとに、以下のイベントに該当するVisitのStandard Vocabularyに変換する
外来診察の受付：ADT^A04^ADT_A01
→（visit_occurrenceに登録するため対象外）
入院実施：ADT^A01^ADT_A01
→（visit_occurrenceに登録するため対象外）
退院実施 ：ADT^A03^ADT_A03
→（visit_occurrenceに登録するため対象外）
転科・転棟実施：ADT^A02^ADT_A02
→4161975:Transfer to another hospital ward
外出泊実施：ADT^A21^ADT_A21
→8602:Temporary Lodging
外出泊帰院実施：ADT^A22^ADT_A21
→（外出泊実施のイベントレコードに集約するため対象外）</t>
    <rPh sb="8" eb="10">
      <t>シキベツ</t>
    </rPh>
    <rPh sb="16" eb="18">
      <t>イカ</t>
    </rPh>
    <rPh sb="24" eb="26">
      <t>ガイトウ</t>
    </rPh>
    <rPh sb="54" eb="56">
      <t>ヘンカン</t>
    </rPh>
    <rPh sb="102" eb="104">
      <t>トウロク</t>
    </rPh>
    <phoneticPr fontId="1"/>
  </si>
  <si>
    <t>★転科転棟、外出泊イベントが発生した入院イベントレコードから生成したvisit_occurrenceのvisit_occurrence_idを取得（ETLの実行順の工夫が必要）</t>
    <rPh sb="1" eb="3">
      <t>テンカ</t>
    </rPh>
    <rPh sb="3" eb="5">
      <t>テントウ</t>
    </rPh>
    <rPh sb="6" eb="8">
      <t>ガイシュツ</t>
    </rPh>
    <rPh sb="8" eb="9">
      <t>ハク</t>
    </rPh>
    <rPh sb="14" eb="16">
      <t>ハッセイ</t>
    </rPh>
    <rPh sb="18" eb="20">
      <t>ニュウイン</t>
    </rPh>
    <rPh sb="30" eb="32">
      <t>セイセイ</t>
    </rPh>
    <rPh sb="71" eb="73">
      <t>シュトク</t>
    </rPh>
    <rPh sb="78" eb="81">
      <t>ジッコウジュン</t>
    </rPh>
    <rPh sb="82" eb="84">
      <t>クフウ</t>
    </rPh>
    <rPh sb="85" eb="87">
      <t>ヒツヨウ</t>
    </rPh>
    <phoneticPr fontId="1"/>
  </si>
  <si>
    <t>PV_ADTSEGMENT='ADT^A03^ADT_A03’(退院実施)かつPV_DISCHARGE_CD_L='20'(死亡)のレコードのみ、PV_DISCHARGE_DATEを登録する</t>
    <rPh sb="30" eb="36">
      <t>'(タイインジッシ</t>
    </rPh>
    <rPh sb="62" eb="64">
      <t>シボウ</t>
    </rPh>
    <rPh sb="91" eb="93">
      <t>トウロク</t>
    </rPh>
    <phoneticPr fontId="1"/>
  </si>
  <si>
    <t>PV_ADTSEGMENT='ADT^A03^ADT_A03’(退院実施)かつPV_DISCHARGE_CD_L='20'(死亡)のレコードのみ、PV_DISCHARGE_DATE+PV_DISCHARGE_TIMEを登録する</t>
    <rPh sb="30" eb="36">
      <t>'(タイインジッシ</t>
    </rPh>
    <rPh sb="62" eb="64">
      <t>シボウ</t>
    </rPh>
    <rPh sb="109" eb="111">
      <t>トウロク</t>
    </rPh>
    <phoneticPr fontId="1"/>
  </si>
  <si>
    <t>VARCHAR(100)</t>
  </si>
  <si>
    <t>VARCHAR(50)</t>
  </si>
  <si>
    <t>VARCHAR(20)</t>
  </si>
  <si>
    <t>VARCHAR(128)</t>
  </si>
  <si>
    <t>VARCHAR(64)</t>
  </si>
  <si>
    <t>ROUTE_VOCABULARY_ID</t>
  </si>
  <si>
    <t>ROUTE_DOMAIN_ID</t>
  </si>
  <si>
    <t>VARCHAR(255)</t>
  </si>
  <si>
    <t>ROUTE_SOURCE_VALUE</t>
  </si>
  <si>
    <t>DATE</t>
  </si>
  <si>
    <t>VERBATIM_END_DATE</t>
  </si>
  <si>
    <t>LOT_NUMBER</t>
  </si>
  <si>
    <t>TEXT</t>
  </si>
  <si>
    <t>SIG</t>
  </si>
  <si>
    <t>BIGINT</t>
  </si>
  <si>
    <t>DAYS_SUPPLY</t>
  </si>
  <si>
    <t>REFILLS</t>
  </si>
  <si>
    <t>STOP_REASON</t>
  </si>
  <si>
    <t>MODIFIER_VOCABULARY_ID</t>
  </si>
  <si>
    <t>MODIFIER_DOMAIN_ID</t>
  </si>
  <si>
    <t>MODIFIER_SOURCE_VALUE</t>
  </si>
  <si>
    <t>UNIQUE_DEVICE_ID</t>
  </si>
  <si>
    <t>STATUS_VOCABULARY_ID</t>
  </si>
  <si>
    <t>STATUS_DOMAIN_ID</t>
  </si>
  <si>
    <t>STATUS_SOURCE_VALUE</t>
  </si>
  <si>
    <t>SPECIMEN_SOURCE_ID</t>
  </si>
  <si>
    <t>ANATOMIC_SITE_VOCABULARY_ID</t>
  </si>
  <si>
    <t>ANATOMIC_SITE_DOMAIN_ID</t>
  </si>
  <si>
    <t>ANATOMIC_SITE_SOURCE_VALUE</t>
  </si>
  <si>
    <t>DOUBLE</t>
  </si>
  <si>
    <t>QUANTITY</t>
  </si>
  <si>
    <t>OPERATOR_VOCABULARY_ID</t>
  </si>
  <si>
    <t>OPERATOR_DOMAIN_ID</t>
  </si>
  <si>
    <t>OPERATOR_SOURCE_VALUE</t>
  </si>
  <si>
    <t>NUMERIC</t>
  </si>
  <si>
    <t>RANGE_HIGH</t>
  </si>
  <si>
    <t>RANGE_LOW</t>
  </si>
  <si>
    <t>VALUE_AS_STRING</t>
  </si>
  <si>
    <t>QUALIFIER_VOCABULARY_ID</t>
  </si>
  <si>
    <t>QUALIFIER_DOMAIN_ID</t>
  </si>
  <si>
    <t>QUALIFIER_SOURCE_VALUE</t>
  </si>
  <si>
    <t>VALUE_AS_NUMBER</t>
  </si>
  <si>
    <t>UNIT_VOCABULARY_ID</t>
  </si>
  <si>
    <t>UNIT_DOMAIN_ID</t>
  </si>
  <si>
    <t>UNIT_SOURCE_VALUE</t>
  </si>
  <si>
    <t>VALUE_VOCABULARY_ID</t>
  </si>
  <si>
    <t>VALUE_DOMAIN_ID</t>
  </si>
  <si>
    <t>VALUE_SOURCE_VALUE</t>
  </si>
  <si>
    <t>VISIT_DETAIL_ID</t>
    <phoneticPr fontId="1"/>
  </si>
  <si>
    <t>VISIT_DETAIL_SOURCE_VALUE</t>
  </si>
  <si>
    <t>VISIT_OCCURRENCE_ID</t>
    <phoneticPr fontId="1"/>
  </si>
  <si>
    <t>VISIT_SOURCE_VALUE</t>
  </si>
  <si>
    <t>PROVIDER_ID</t>
    <phoneticPr fontId="1"/>
  </si>
  <si>
    <t>PROVIDER_SOURCE_VALUE</t>
  </si>
  <si>
    <t>TIMESTAMP</t>
  </si>
  <si>
    <t>PERSON_ID</t>
    <phoneticPr fontId="1"/>
  </si>
  <si>
    <t>PERSON_SOURCE_VALUE</t>
  </si>
  <si>
    <t>DATA TYPE</t>
    <phoneticPr fontId="1"/>
  </si>
  <si>
    <t>COLUM_NAME</t>
    <phoneticPr fontId="1"/>
  </si>
  <si>
    <t>#</t>
    <phoneticPr fontId="1"/>
  </si>
  <si>
    <t>SPECIMEN</t>
    <phoneticPr fontId="1"/>
  </si>
  <si>
    <t>specimen_id</t>
  </si>
  <si>
    <t>specimen_concept_id</t>
  </si>
  <si>
    <t>specimen_type_concept_id</t>
  </si>
  <si>
    <t>specimen_date</t>
  </si>
  <si>
    <t>specimen_datetime</t>
  </si>
  <si>
    <t>unit_concept_id</t>
  </si>
  <si>
    <t>anatomic_site_concept_id</t>
  </si>
  <si>
    <t>disease_status_concept_id</t>
  </si>
  <si>
    <t>specimen_source_id</t>
  </si>
  <si>
    <t>specimen_source_value</t>
  </si>
  <si>
    <t>anatomic_site_source_value</t>
  </si>
  <si>
    <t>disease_status_source_value</t>
  </si>
  <si>
    <t>Observation Result.
PATIENT_ID</t>
    <phoneticPr fontId="1"/>
  </si>
  <si>
    <t>Observation Result.
SPM_CD_S</t>
    <phoneticPr fontId="1"/>
  </si>
  <si>
    <t>臨中標準材料コードをsource_to_concept_mapを介してSNOMED,LOINC他のStandard Vocabularyに変換する</t>
    <rPh sb="0" eb="2">
      <t>リンチュウ</t>
    </rPh>
    <rPh sb="2" eb="4">
      <t>ヒョウジュン</t>
    </rPh>
    <rPh sb="4" eb="6">
      <t>ザイリョウ</t>
    </rPh>
    <rPh sb="32" eb="33">
      <t>カイ</t>
    </rPh>
    <rPh sb="47" eb="48">
      <t>タ</t>
    </rPh>
    <rPh sb="69" eb="71">
      <t>ヘンカン</t>
    </rPh>
    <phoneticPr fontId="1"/>
  </si>
  <si>
    <t>一意の連番を設定する
（同一採取日時同一材料コードで複数レコード存在する場合は１レコードに集約する）</t>
    <rPh sb="0" eb="2">
      <t>イチイ</t>
    </rPh>
    <rPh sb="3" eb="5">
      <t>レンバン</t>
    </rPh>
    <rPh sb="6" eb="8">
      <t>セッテイ</t>
    </rPh>
    <rPh sb="14" eb="16">
      <t>サイシュ</t>
    </rPh>
    <phoneticPr fontId="1"/>
  </si>
  <si>
    <t>Condition</t>
    <phoneticPr fontId="1"/>
  </si>
  <si>
    <t>Measurement</t>
    <phoneticPr fontId="1"/>
  </si>
  <si>
    <t>Observation</t>
    <phoneticPr fontId="1"/>
  </si>
  <si>
    <t>Specimen</t>
    <phoneticPr fontId="1"/>
  </si>
  <si>
    <t>Drug</t>
    <phoneticPr fontId="1"/>
  </si>
  <si>
    <t>Procedure</t>
    <phoneticPr fontId="1"/>
  </si>
  <si>
    <t>condition_end_date</t>
    <phoneticPr fontId="1"/>
  </si>
  <si>
    <t>condition_end_datetime</t>
    <phoneticPr fontId="1"/>
  </si>
  <si>
    <t>provider_id</t>
    <phoneticPr fontId="1"/>
  </si>
  <si>
    <t>visit_occurrence_id</t>
    <phoneticPr fontId="1"/>
  </si>
  <si>
    <t>visit_detail_id</t>
    <phoneticPr fontId="1"/>
  </si>
  <si>
    <t>condition_source_value</t>
    <phoneticPr fontId="1"/>
  </si>
  <si>
    <t>condition_status_concept_id</t>
    <phoneticPr fontId="1"/>
  </si>
  <si>
    <t>STATUS_CONCEPT_ID</t>
    <phoneticPr fontId="1"/>
  </si>
  <si>
    <t>condition_status_source_value</t>
    <phoneticPr fontId="1"/>
  </si>
  <si>
    <t>condition_source_concept_id</t>
    <phoneticPr fontId="1"/>
  </si>
  <si>
    <t>"Condition"</t>
    <phoneticPr fontId="1"/>
  </si>
  <si>
    <t>VALUE_CONCEPT_ID</t>
    <phoneticPr fontId="1"/>
  </si>
  <si>
    <t>VALUE_SOURCE_CONCEPT_ID</t>
    <phoneticPr fontId="1"/>
  </si>
  <si>
    <t>stop_reason</t>
    <phoneticPr fontId="1"/>
  </si>
  <si>
    <t>ROUTE_CONCEPT_ID</t>
    <phoneticPr fontId="1"/>
  </si>
  <si>
    <t>route_concept_id</t>
    <phoneticPr fontId="1"/>
  </si>
  <si>
    <t>lot_number</t>
    <phoneticPr fontId="1"/>
  </si>
  <si>
    <t>visit_detail_id</t>
    <phoneticPr fontId="1"/>
  </si>
  <si>
    <t>procedure_datetime</t>
  </si>
  <si>
    <t>procedure_end_date</t>
  </si>
  <si>
    <t>procedure_end_datetime</t>
  </si>
  <si>
    <t>MODIFIER_CONCEPT_ID</t>
    <phoneticPr fontId="1"/>
  </si>
  <si>
    <t>modifier_concept_id</t>
  </si>
  <si>
    <t>procedure_source_value</t>
  </si>
  <si>
    <t>procedure_source_concept_id</t>
  </si>
  <si>
    <t>modifier_source_value</t>
  </si>
  <si>
    <t>Device</t>
    <phoneticPr fontId="1"/>
  </si>
  <si>
    <t>device_exposure_start_datetime</t>
  </si>
  <si>
    <t>device_exposure_end_datetime</t>
  </si>
  <si>
    <t>unique_device_id</t>
  </si>
  <si>
    <t>PRODUCTION_ID</t>
    <phoneticPr fontId="1"/>
  </si>
  <si>
    <t>production_id</t>
    <phoneticPr fontId="1"/>
  </si>
  <si>
    <t>device_source_value</t>
  </si>
  <si>
    <t>device_source_concept_id</t>
  </si>
  <si>
    <t>UNIT_CONCEPT_ID</t>
    <phoneticPr fontId="1"/>
  </si>
  <si>
    <t>UNIT_SOURCE_CONCEPT_ID</t>
    <phoneticPr fontId="1"/>
  </si>
  <si>
    <t>unit_source_concept_id</t>
  </si>
  <si>
    <t>VARCHAR(10)</t>
    <phoneticPr fontId="1"/>
  </si>
  <si>
    <t>measurement_time</t>
    <phoneticPr fontId="1"/>
  </si>
  <si>
    <t>OPERATOR_CONCEPT_ID</t>
    <phoneticPr fontId="1"/>
  </si>
  <si>
    <t>operator_concept_id</t>
  </si>
  <si>
    <t>value_as_number</t>
    <phoneticPr fontId="1"/>
  </si>
  <si>
    <t>qualifier_source_value</t>
  </si>
  <si>
    <t>value_as_string</t>
  </si>
  <si>
    <t>value_as_concept_id</t>
  </si>
  <si>
    <t>measurement_source_value</t>
  </si>
  <si>
    <t>measurement_source_concept_id</t>
  </si>
  <si>
    <t>unit_source_concept_id</t>
    <phoneticPr fontId="1"/>
  </si>
  <si>
    <t>value_source_value</t>
    <phoneticPr fontId="1"/>
  </si>
  <si>
    <t>observation_datetime</t>
  </si>
  <si>
    <t>VARCHAR(500)</t>
    <phoneticPr fontId="1"/>
  </si>
  <si>
    <t>QUALIFIER_CONCEPT_ID</t>
    <phoneticPr fontId="1"/>
  </si>
  <si>
    <t>qualifier_concept_id</t>
  </si>
  <si>
    <t>observation_source_value</t>
  </si>
  <si>
    <t>observation_source_concept_id</t>
    <phoneticPr fontId="1"/>
  </si>
  <si>
    <t>ANATOMIC_SITE_CONCEPT_ID</t>
    <phoneticPr fontId="1"/>
  </si>
  <si>
    <t>臨中標準DB</t>
    <rPh sb="0" eb="2">
      <t>リンチュウ</t>
    </rPh>
    <rPh sb="2" eb="4">
      <t>ヒョウジュン</t>
    </rPh>
    <phoneticPr fontId="1"/>
  </si>
  <si>
    <t>Patient Disease</t>
    <phoneticPr fontId="1"/>
  </si>
  <si>
    <t>Observation Result</t>
    <phoneticPr fontId="1"/>
  </si>
  <si>
    <t>Prescription Data</t>
    <phoneticPr fontId="1"/>
  </si>
  <si>
    <t>Injection Data</t>
  </si>
  <si>
    <t>PATIENT_ID</t>
    <phoneticPr fontId="1"/>
  </si>
  <si>
    <t>DEPT_CD_S</t>
    <phoneticPr fontId="1"/>
  </si>
  <si>
    <t>"EHR"</t>
    <phoneticPr fontId="1"/>
  </si>
  <si>
    <t>"Meas Value"</t>
    <phoneticPr fontId="1"/>
  </si>
  <si>
    <t>DIS_NAME</t>
    <phoneticPr fontId="1"/>
  </si>
  <si>
    <t>STATUS_SOURCE_REGVALUE</t>
    <phoneticPr fontId="1"/>
  </si>
  <si>
    <t>DIS_SUSPECT_CD or
DIS_CLASSIFICATION_CD</t>
    <phoneticPr fontId="1"/>
  </si>
  <si>
    <t>person_id*</t>
    <phoneticPr fontId="1"/>
  </si>
  <si>
    <t>condition_concept_id*</t>
    <phoneticPr fontId="1"/>
  </si>
  <si>
    <t>condition_start_date*</t>
    <phoneticPr fontId="1"/>
  </si>
  <si>
    <t>condition_type_concept_id*</t>
    <phoneticPr fontId="1"/>
  </si>
  <si>
    <t>drug_exposure_start_date*</t>
    <phoneticPr fontId="1"/>
  </si>
  <si>
    <t>drug_concept_id*</t>
    <phoneticPr fontId="1"/>
  </si>
  <si>
    <t>drug_exposure_end_date*</t>
    <phoneticPr fontId="1"/>
  </si>
  <si>
    <t>drug_type_concept_id*</t>
    <phoneticPr fontId="1"/>
  </si>
  <si>
    <t>procedure_date*</t>
    <phoneticPr fontId="1"/>
  </si>
  <si>
    <t>procedure_concept_id*</t>
    <phoneticPr fontId="1"/>
  </si>
  <si>
    <t>procedure_type_concept_id*</t>
    <phoneticPr fontId="1"/>
  </si>
  <si>
    <t>device_exposure_start_date*</t>
    <phoneticPr fontId="1"/>
  </si>
  <si>
    <t>device_concept_id*</t>
    <phoneticPr fontId="1"/>
  </si>
  <si>
    <t>device_type_concept_id*</t>
    <phoneticPr fontId="1"/>
  </si>
  <si>
    <t>measurement_date*</t>
    <phoneticPr fontId="1"/>
  </si>
  <si>
    <t>measurement_concept_id*</t>
    <phoneticPr fontId="1"/>
  </si>
  <si>
    <t>measurement_type_concept_id*</t>
    <phoneticPr fontId="1"/>
  </si>
  <si>
    <t>observation_date*</t>
    <phoneticPr fontId="1"/>
  </si>
  <si>
    <t>observation_concept_id*</t>
    <phoneticPr fontId="1"/>
  </si>
  <si>
    <t>observation_type_concept_id*</t>
    <phoneticPr fontId="1"/>
  </si>
  <si>
    <t>specimen_date*</t>
    <phoneticPr fontId="1"/>
  </si>
  <si>
    <t>specimen_concept_id*</t>
    <phoneticPr fontId="1"/>
  </si>
  <si>
    <t>specimen_type_concept_id*</t>
    <phoneticPr fontId="1"/>
  </si>
  <si>
    <t>device_exposure_end_date</t>
    <phoneticPr fontId="1"/>
  </si>
  <si>
    <t>VALUE_SOURCE_REGVALUE</t>
    <phoneticPr fontId="1"/>
  </si>
  <si>
    <t>UNIT_SOURCE_REGVALUE</t>
    <phoneticPr fontId="1"/>
  </si>
  <si>
    <t>DIS_OUTCOME_CD|(転帰区分名称)</t>
    <rPh sb="16" eb="18">
      <t>テンキ</t>
    </rPh>
    <rPh sb="18" eb="20">
      <t>クブン</t>
    </rPh>
    <rPh sb="20" eb="22">
      <t>メイショウ</t>
    </rPh>
    <phoneticPr fontId="1"/>
  </si>
  <si>
    <t>SPM_COLLECT_DATE+SPM_COLLECT_TIME</t>
    <phoneticPr fontId="1"/>
  </si>
  <si>
    <t>SPM_COLLECT_TIME</t>
    <phoneticPr fontId="1"/>
  </si>
  <si>
    <t>OBX_CD_S</t>
    <phoneticPr fontId="1"/>
  </si>
  <si>
    <t>"Measurement"</t>
    <phoneticPr fontId="1"/>
  </si>
  <si>
    <t>"RINCHU_OBX_CD"</t>
    <phoneticPr fontId="1"/>
  </si>
  <si>
    <t>"RINCHU_OBX_VALUE"</t>
    <phoneticPr fontId="1"/>
  </si>
  <si>
    <t>OBX_UNIT_S</t>
    <phoneticPr fontId="1"/>
  </si>
  <si>
    <t>"Unit"</t>
    <phoneticPr fontId="1"/>
  </si>
  <si>
    <t>"RINCHU_OBX_UNIT"</t>
    <phoneticPr fontId="1"/>
  </si>
  <si>
    <t>SCH_OBX_VALUE_S</t>
    <phoneticPr fontId="1"/>
  </si>
  <si>
    <t>OBX_VALUE_Lから等符号だけを抽出</t>
    <rPh sb="13" eb="16">
      <t>トウフゴウ</t>
    </rPh>
    <rPh sb="19" eb="21">
      <t>チュウシュツ</t>
    </rPh>
    <phoneticPr fontId="1"/>
  </si>
  <si>
    <t>"Meas Value Operator"</t>
    <phoneticPr fontId="1"/>
  </si>
  <si>
    <t>"RINCHU_OBX_OPERATOR"</t>
    <phoneticPr fontId="1"/>
  </si>
  <si>
    <t>OBX_RESULT_STATUS_CD</t>
    <phoneticPr fontId="1"/>
  </si>
  <si>
    <t>”PatientDisease”</t>
    <phoneticPr fontId="1"/>
  </si>
  <si>
    <t>"ObservationResult"</t>
    <phoneticPr fontId="1"/>
  </si>
  <si>
    <t>PRES_MEDICINE_CD_YJ</t>
    <phoneticPr fontId="1"/>
  </si>
  <si>
    <t>"Drug"</t>
    <phoneticPr fontId="1"/>
  </si>
  <si>
    <t>"RINCHU_DRUG"</t>
    <phoneticPr fontId="1"/>
  </si>
  <si>
    <t>PRES_MEDICINE_CD_YJ|PRES_MEDICINE_CD_HOT|PRES_MEDICINE_NAME_L</t>
    <phoneticPr fontId="1"/>
  </si>
  <si>
    <t>PRES_DISPENSE_UNIT_CD_S</t>
  </si>
  <si>
    <t>PRES_DISPENSE_UNIT_CD_S|PRES_DISPENSE_UNIT_NAME_L</t>
    <phoneticPr fontId="1"/>
  </si>
  <si>
    <t>"RINCHU_DRUG_UNIT"</t>
    <phoneticPr fontId="1"/>
  </si>
  <si>
    <t>PRES_DISPENSE_AMOUNT</t>
    <phoneticPr fontId="1"/>
  </si>
  <si>
    <t>PRES_PERIOD</t>
    <phoneticPr fontId="1"/>
  </si>
  <si>
    <t>PRES_ADMINISTRATION_TYPE</t>
    <phoneticPr fontId="1"/>
  </si>
  <si>
    <t>ROUTE_SOURCE_REGVALUE</t>
    <phoneticPr fontId="1"/>
  </si>
  <si>
    <t>PRES_ADMINISTRATION_TYPE|(用法種別名)</t>
    <rPh sb="26" eb="31">
      <t>ヨウホウシュベツメイ</t>
    </rPh>
    <phoneticPr fontId="1"/>
  </si>
  <si>
    <t>"RINCHU_DRUG_ROUTE"</t>
    <phoneticPr fontId="1"/>
  </si>
  <si>
    <t>"Route"</t>
    <phoneticPr fontId="1"/>
  </si>
  <si>
    <t>"PrescriptionData"</t>
    <phoneticPr fontId="1"/>
  </si>
  <si>
    <t>INJ_START_DATE+INJ_START_TIME</t>
    <phoneticPr fontId="1"/>
  </si>
  <si>
    <t>INJ_END_DATE+INJ_END_TIME</t>
    <phoneticPr fontId="1"/>
  </si>
  <si>
    <t>INJ_MEDICINE_CD_YJ</t>
    <phoneticPr fontId="1"/>
  </si>
  <si>
    <t>INJ_MEDICINE_CD_YJ|INJ_MEDICINE_CD_HOT|INJ_MEDICINE_NAME_L</t>
    <phoneticPr fontId="1"/>
  </si>
  <si>
    <t>INJ_ADMINISTERED_AMOUNT</t>
    <phoneticPr fontId="1"/>
  </si>
  <si>
    <t>INJ_DOSAGE_UNIT_CD_S</t>
    <phoneticPr fontId="1"/>
  </si>
  <si>
    <t>INJ_DOSAGE_UNIT_CD_S|INJ_ADMINISTERED_UNIT_NAME_L</t>
    <phoneticPr fontId="1"/>
  </si>
  <si>
    <t>QUALIFIER_SOURCE_REGVALUE</t>
    <phoneticPr fontId="1"/>
  </si>
  <si>
    <t>OPERATOR_SOURCE_REGVALUE</t>
    <phoneticPr fontId="1"/>
  </si>
  <si>
    <t>INJ_COMPLETION_STATUS</t>
    <phoneticPr fontId="1"/>
  </si>
  <si>
    <t>INJ_ROUTE</t>
    <phoneticPr fontId="1"/>
  </si>
  <si>
    <t>INJ_ROUTE|(投与経路名)</t>
    <rPh sb="11" eb="15">
      <t>トウヨケイロ</t>
    </rPh>
    <rPh sb="15" eb="16">
      <t>メイ</t>
    </rPh>
    <phoneticPr fontId="1"/>
  </si>
  <si>
    <t>12-1-9110057:国立がん研究センター東病院</t>
    <phoneticPr fontId="1"/>
  </si>
  <si>
    <t>27-1-9900249:大阪大学医学部附属病院</t>
    <phoneticPr fontId="1"/>
  </si>
  <si>
    <t>23-1-9900110:名古屋大学医学部附属病院</t>
    <phoneticPr fontId="1"/>
  </si>
  <si>
    <t>provider_name</t>
  </si>
  <si>
    <t>npi</t>
  </si>
  <si>
    <t>dea</t>
  </si>
  <si>
    <t>specialty_concept_id</t>
  </si>
  <si>
    <t>gender_concept_id</t>
  </si>
  <si>
    <t>provider_source_value</t>
  </si>
  <si>
    <t>specialty_source_value</t>
  </si>
  <si>
    <t>specialty_source_concept_id</t>
  </si>
  <si>
    <t>gender_source_concept_id</t>
  </si>
  <si>
    <t>SS-MIX2 標準化ストレージ仕様書 別紙：コード表 P19 2.3 使用者定義コード表 表 53 使用者定義表-#0069 診療部門の診療科名をセットする</t>
    <rPh sb="69" eb="73">
      <t>シンリョウカメイ</t>
    </rPh>
    <phoneticPr fontId="1"/>
  </si>
  <si>
    <t>当該診療科の専門性に該当するspecialityのconcept_idをセットする</t>
    <rPh sb="0" eb="2">
      <t>トウガイ</t>
    </rPh>
    <rPh sb="2" eb="5">
      <t>シンリョウカ</t>
    </rPh>
    <rPh sb="6" eb="9">
      <t>センモンセイ</t>
    </rPh>
    <rPh sb="10" eb="12">
      <t>ガイトウ</t>
    </rPh>
    <phoneticPr fontId="1"/>
  </si>
  <si>
    <t>当該医療機関のcare_site_idをセットする</t>
    <rPh sb="0" eb="2">
      <t>トウガイ</t>
    </rPh>
    <rPh sb="2" eb="6">
      <t>イリョウキカン</t>
    </rPh>
    <phoneticPr fontId="1"/>
  </si>
  <si>
    <t>SS-MIX2 標準化ストレージ仕様書 別紙：コード表 P19 2.3 使用者定義コード表 表 53 使用者定義表-#0069 診療部門の診療科コードをセットする</t>
    <rPh sb="69" eb="72">
      <t>シンリョウカ</t>
    </rPh>
    <phoneticPr fontId="1"/>
  </si>
  <si>
    <t>01</t>
  </si>
  <si>
    <t>内科</t>
  </si>
  <si>
    <t>02</t>
  </si>
  <si>
    <t>精神科</t>
  </si>
  <si>
    <t>05</t>
  </si>
  <si>
    <t>呼吸器科</t>
  </si>
  <si>
    <t>06</t>
  </si>
  <si>
    <t>消化器科</t>
  </si>
  <si>
    <t>10</t>
  </si>
  <si>
    <t>外科</t>
  </si>
  <si>
    <t>17</t>
  </si>
  <si>
    <t>小児外科</t>
  </si>
  <si>
    <t>19</t>
  </si>
  <si>
    <t>皮膚科</t>
  </si>
  <si>
    <t>20</t>
  </si>
  <si>
    <t>泌尿器科</t>
  </si>
  <si>
    <t>25</t>
  </si>
  <si>
    <t>婦人科</t>
  </si>
  <si>
    <t>26</t>
  </si>
  <si>
    <t>眼科</t>
  </si>
  <si>
    <t>30</t>
  </si>
  <si>
    <t>放射線科</t>
  </si>
  <si>
    <t>31</t>
  </si>
  <si>
    <t>麻酔科</t>
  </si>
  <si>
    <t>36</t>
  </si>
  <si>
    <t>リハビリテーション科</t>
  </si>
  <si>
    <t>83</t>
  </si>
  <si>
    <t>緩和ケア科</t>
  </si>
  <si>
    <t>98</t>
  </si>
  <si>
    <t>医事・事務</t>
  </si>
  <si>
    <t>9Z</t>
  </si>
  <si>
    <t>その他</t>
  </si>
  <si>
    <t>discharged_to_concept_id</t>
    <phoneticPr fontId="1"/>
  </si>
  <si>
    <t>SCH_DIS_START_DATE</t>
    <phoneticPr fontId="1"/>
  </si>
  <si>
    <t>SCH_DIS_END_DATE</t>
    <phoneticPr fontId="1"/>
  </si>
  <si>
    <t>"RINCHU_DIS_STATUS"</t>
    <phoneticPr fontId="1"/>
  </si>
  <si>
    <t>"Condition Status"</t>
    <phoneticPr fontId="1"/>
  </si>
  <si>
    <t>"SUSPECT:"DIS_SUSPECT_CD | "CLASSIFICATION:" DIS_CLASSIFICATION_CD</t>
    <phoneticPr fontId="1"/>
  </si>
  <si>
    <t>OBX_VALUE_S</t>
    <phoneticPr fontId="1"/>
  </si>
  <si>
    <t>OBX_VALUE_Sから等符号だけを抽出</t>
    <rPh sb="13" eb="16">
      <t>トウフゴウ</t>
    </rPh>
    <rPh sb="19" eb="21">
      <t>チュウシュツ</t>
    </rPh>
    <phoneticPr fontId="1"/>
  </si>
  <si>
    <t>obx_unique_id</t>
    <phoneticPr fontId="1"/>
  </si>
  <si>
    <t>dis_unique_id</t>
    <phoneticPr fontId="1"/>
  </si>
  <si>
    <t>OBX_RANGE_LOW_L(文字を含む場合はセットしない）</t>
    <rPh sb="16" eb="18">
      <t>モジ</t>
    </rPh>
    <rPh sb="19" eb="20">
      <t>フク</t>
    </rPh>
    <rPh sb="21" eb="23">
      <t>バアイ</t>
    </rPh>
    <phoneticPr fontId="1"/>
  </si>
  <si>
    <t>OBX_RANGE_HIGH_L(文字を含む場合はセットしない）</t>
    <phoneticPr fontId="1"/>
  </si>
  <si>
    <t>SCH_PRES_START_DATE</t>
    <phoneticPr fontId="1"/>
  </si>
  <si>
    <t>SCH_SPM_COLLECT_DATE</t>
    <phoneticPr fontId="1"/>
  </si>
  <si>
    <t>SCH_PRES_START_DATE+PRES_PERIOD - 1</t>
    <phoneticPr fontId="1"/>
  </si>
  <si>
    <t>SCH_INJ_START_DATE</t>
    <phoneticPr fontId="1"/>
  </si>
  <si>
    <t>SCH_INJ_END_DATE</t>
    <phoneticPr fontId="1"/>
  </si>
  <si>
    <t>Observation Result(Specimen)</t>
    <phoneticPr fontId="1"/>
  </si>
  <si>
    <t>SPM_CD_S</t>
    <phoneticPr fontId="1"/>
  </si>
  <si>
    <t>"Specimen"</t>
    <phoneticPr fontId="1"/>
  </si>
  <si>
    <t>"RINCHU_SPM_CD"</t>
    <phoneticPr fontId="1"/>
  </si>
  <si>
    <t>SPM_CD_S|SPM_NAME_S</t>
    <phoneticPr fontId="1"/>
  </si>
  <si>
    <t>Patient Disease.
PATIENT_ID</t>
    <phoneticPr fontId="1"/>
  </si>
  <si>
    <t>Prescription Data.
PATIENT_ID</t>
    <phoneticPr fontId="1"/>
  </si>
  <si>
    <t>Injection Data.
PATIENT_ID</t>
    <phoneticPr fontId="1"/>
  </si>
  <si>
    <t>■基本的な流れ</t>
    <rPh sb="1" eb="4">
      <t>キホンテキ</t>
    </rPh>
    <rPh sb="5" eb="6">
      <t>ナガ</t>
    </rPh>
    <phoneticPr fontId="1"/>
  </si>
  <si>
    <t>■具体的なな流れ</t>
    <rPh sb="1" eb="4">
      <t>グタイテキ</t>
    </rPh>
    <rPh sb="6" eb="7">
      <t>ナガ</t>
    </rPh>
    <phoneticPr fontId="1"/>
  </si>
  <si>
    <t>person：各テーブルの生成の前提となるテーブルのため、一連の変換処理を最初に実行する</t>
    <rPh sb="7" eb="8">
      <t>カク</t>
    </rPh>
    <rPh sb="13" eb="15">
      <t>セイセイ</t>
    </rPh>
    <rPh sb="16" eb="18">
      <t>ゼンテイ</t>
    </rPh>
    <rPh sb="29" eb="31">
      <t>イチレン</t>
    </rPh>
    <rPh sb="32" eb="36">
      <t>ヘンカンショリ</t>
    </rPh>
    <rPh sb="37" eb="39">
      <t>サイショ</t>
    </rPh>
    <rPh sb="40" eb="42">
      <t>ジッコウ</t>
    </rPh>
    <phoneticPr fontId="1"/>
  </si>
  <si>
    <t>visit_occurrence/visit_detail：データ形式が固有のため、一連の変換処理を単独で実行する</t>
    <rPh sb="33" eb="35">
      <t>ケイシキ</t>
    </rPh>
    <rPh sb="36" eb="38">
      <t>コユウ</t>
    </rPh>
    <rPh sb="42" eb="44">
      <t>イチレン</t>
    </rPh>
    <rPh sb="45" eb="49">
      <t>ヘンカンショリ</t>
    </rPh>
    <rPh sb="50" eb="52">
      <t>タンドク</t>
    </rPh>
    <rPh sb="53" eb="55">
      <t>ジッコウ</t>
    </rPh>
    <phoneticPr fontId="1"/>
  </si>
  <si>
    <t>その他：ソースデータによらず、conceptのdomainに応じたテーブルに振り分けが必要なため、一旦データを集約、マッピング後に各テーブルに変換を行う。</t>
    <rPh sb="2" eb="3">
      <t>タ</t>
    </rPh>
    <rPh sb="30" eb="31">
      <t>オウ</t>
    </rPh>
    <rPh sb="38" eb="39">
      <t>フ</t>
    </rPh>
    <rPh sb="40" eb="41">
      <t>ワ</t>
    </rPh>
    <rPh sb="43" eb="45">
      <t>ヒツヨウ</t>
    </rPh>
    <rPh sb="49" eb="51">
      <t>イッタン</t>
    </rPh>
    <rPh sb="55" eb="57">
      <t>シュウヤク</t>
    </rPh>
    <rPh sb="63" eb="64">
      <t>ゴ</t>
    </rPh>
    <rPh sb="65" eb="66">
      <t>カク</t>
    </rPh>
    <rPh sb="71" eb="73">
      <t>ヘンカン</t>
    </rPh>
    <rPh sb="74" eb="75">
      <t>オコナ</t>
    </rPh>
    <phoneticPr fontId="1"/>
  </si>
  <si>
    <t>臨中ネットデータベースOMOP変換　プロセスフロー</t>
    <rPh sb="0" eb="2">
      <t>リンチュウ</t>
    </rPh>
    <rPh sb="15" eb="17">
      <t>ヘンカン</t>
    </rPh>
    <phoneticPr fontId="1"/>
  </si>
  <si>
    <t>[source_schema]</t>
    <phoneticPr fontId="1"/>
  </si>
  <si>
    <t>[production_schema]</t>
    <phoneticPr fontId="1"/>
  </si>
  <si>
    <t>[working_schema]</t>
    <phoneticPr fontId="1"/>
  </si>
  <si>
    <r>
      <rPr>
        <b/>
        <sz val="11"/>
        <color theme="1"/>
        <rFont val="游ゴシック"/>
        <family val="3"/>
        <charset val="128"/>
        <scheme val="minor"/>
      </rPr>
      <t>condition_occurrence</t>
    </r>
    <r>
      <rPr>
        <sz val="11"/>
        <color theme="1"/>
        <rFont val="游ゴシック"/>
        <family val="2"/>
        <charset val="128"/>
        <scheme val="minor"/>
      </rPr>
      <t>からSQLでデータ生成</t>
    </r>
    <rPh sb="29" eb="31">
      <t>セイセイ</t>
    </rPh>
    <phoneticPr fontId="1"/>
  </si>
  <si>
    <r>
      <rPr>
        <b/>
        <sz val="11"/>
        <color theme="1"/>
        <rFont val="游ゴシック"/>
        <family val="3"/>
        <charset val="128"/>
        <scheme val="minor"/>
      </rPr>
      <t>drug_exposure</t>
    </r>
    <r>
      <rPr>
        <sz val="11"/>
        <color theme="1"/>
        <rFont val="游ゴシック"/>
        <family val="2"/>
        <charset val="128"/>
        <scheme val="minor"/>
      </rPr>
      <t>からSQLでデータ生成</t>
    </r>
    <rPh sb="22" eb="24">
      <t>セイセイ</t>
    </rPh>
    <phoneticPr fontId="1"/>
  </si>
  <si>
    <r>
      <rPr>
        <b/>
        <sz val="11"/>
        <color theme="1"/>
        <rFont val="游ゴシック"/>
        <family val="3"/>
        <charset val="128"/>
        <scheme val="minor"/>
      </rPr>
      <t>各OMOP clinicalテーブルか</t>
    </r>
    <r>
      <rPr>
        <sz val="11"/>
        <color theme="1"/>
        <rFont val="游ゴシック"/>
        <family val="2"/>
        <charset val="128"/>
        <scheme val="minor"/>
      </rPr>
      <t>らSQLでデータ生成</t>
    </r>
    <rPh sb="0" eb="1">
      <t>カク</t>
    </rPh>
    <rPh sb="27" eb="29">
      <t>セイセイ</t>
    </rPh>
    <phoneticPr fontId="1"/>
  </si>
  <si>
    <t>ICD10 or 病名管理番号 to Standard Vocabulary(SNOMED etc)</t>
    <rPh sb="9" eb="11">
      <t>ビョウメイ</t>
    </rPh>
    <rPh sb="11" eb="13">
      <t>カンリ</t>
    </rPh>
    <rPh sb="13" eb="15">
      <t>バンゴウ</t>
    </rPh>
    <phoneticPr fontId="1"/>
  </si>
  <si>
    <t>ICD10 or 病名管理番号 to Standard Vocabulary(SNOMED etc)
疑いフラグ+転帰区分 to Standard Vocabulary</t>
    <rPh sb="9" eb="11">
      <t>ビョウメイ</t>
    </rPh>
    <rPh sb="11" eb="13">
      <t>カンリ</t>
    </rPh>
    <rPh sb="13" eb="15">
      <t>バンゴウ</t>
    </rPh>
    <rPh sb="51" eb="52">
      <t>ウタガ</t>
    </rPh>
    <rPh sb="57" eb="61">
      <t>テンキクブン</t>
    </rPh>
    <phoneticPr fontId="1"/>
  </si>
  <si>
    <t>臨中ネット標準データベース OMOP変換</t>
    <rPh sb="0" eb="2">
      <t>リンチュウ</t>
    </rPh>
    <rPh sb="5" eb="7">
      <t>ヒョウジュン</t>
    </rPh>
    <rPh sb="18" eb="20">
      <t>ヘンカン</t>
    </rPh>
    <phoneticPr fontId="1"/>
  </si>
  <si>
    <t>データ変換仕様書</t>
    <rPh sb="3" eb="8">
      <t>ヘンカンシヨウショ</t>
    </rPh>
    <phoneticPr fontId="1"/>
  </si>
  <si>
    <t>v0.1</t>
    <phoneticPr fontId="1"/>
  </si>
  <si>
    <t>都道府県名</t>
    <rPh sb="0" eb="5">
      <t>トドウフケンメイ</t>
    </rPh>
    <phoneticPr fontId="1"/>
  </si>
  <si>
    <t>生年月日を登録</t>
    <rPh sb="0" eb="4">
      <t>セイネンガッピ</t>
    </rPh>
    <rPh sb="5" eb="7">
      <t>トウロク</t>
    </rPh>
    <phoneticPr fontId="1"/>
  </si>
  <si>
    <t>郵便番号から郵便番号マスタを介して都道府県名を取得後、location_idに変換</t>
    <rPh sb="0" eb="4">
      <t>ユウビンバンゴウ</t>
    </rPh>
    <rPh sb="6" eb="10">
      <t>ユウビンバンゴウ</t>
    </rPh>
    <rPh sb="14" eb="15">
      <t>カイ</t>
    </rPh>
    <rPh sb="17" eb="22">
      <t>トドウフケンメイ</t>
    </rPh>
    <rPh sb="23" eb="26">
      <t>シュトクゴ</t>
    </rPh>
    <rPh sb="39" eb="41">
      <t>ヘンカン</t>
    </rPh>
    <phoneticPr fontId="1"/>
  </si>
  <si>
    <t>VocablaryMapping</t>
    <phoneticPr fontId="1"/>
  </si>
  <si>
    <r>
      <t>Source_to_concept_map:
VocabID:</t>
    </r>
    <r>
      <rPr>
        <b/>
        <sz val="10"/>
        <rFont val="游ゴシック"/>
        <family val="3"/>
        <charset val="128"/>
        <scheme val="minor"/>
      </rPr>
      <t>RINCHU_VIST</t>
    </r>
    <r>
      <rPr>
        <sz val="10"/>
        <rFont val="游ゴシック"/>
        <family val="3"/>
        <charset val="128"/>
        <scheme val="minor"/>
      </rPr>
      <t xml:space="preserve">
DomainID:</t>
    </r>
    <r>
      <rPr>
        <b/>
        <sz val="10"/>
        <rFont val="游ゴシック"/>
        <family val="3"/>
        <charset val="128"/>
        <scheme val="minor"/>
      </rPr>
      <t>Visit</t>
    </r>
    <phoneticPr fontId="26"/>
  </si>
  <si>
    <r>
      <t>Source_to_concept_map:
VocabID:</t>
    </r>
    <r>
      <rPr>
        <b/>
        <sz val="10"/>
        <rFont val="游ゴシック"/>
        <family val="3"/>
        <charset val="128"/>
        <scheme val="minor"/>
      </rPr>
      <t>RINCHU_DIS_STATUS</t>
    </r>
    <r>
      <rPr>
        <sz val="10"/>
        <rFont val="游ゴシック"/>
        <family val="3"/>
        <charset val="128"/>
        <scheme val="minor"/>
      </rPr>
      <t xml:space="preserve">
DomainID:</t>
    </r>
    <r>
      <rPr>
        <b/>
        <sz val="10"/>
        <rFont val="游ゴシック"/>
        <family val="3"/>
        <charset val="128"/>
        <scheme val="minor"/>
      </rPr>
      <t>Condition Status</t>
    </r>
    <phoneticPr fontId="26"/>
  </si>
  <si>
    <r>
      <t>Source_to_concept_map:
VocabID:</t>
    </r>
    <r>
      <rPr>
        <b/>
        <sz val="10"/>
        <rFont val="游ゴシック"/>
        <family val="3"/>
        <charset val="128"/>
        <scheme val="minor"/>
      </rPr>
      <t>RINCHU_DRUG_ROUTE</t>
    </r>
    <r>
      <rPr>
        <sz val="10"/>
        <rFont val="游ゴシック"/>
        <family val="3"/>
        <charset val="128"/>
        <scheme val="minor"/>
      </rPr>
      <t xml:space="preserve">
DomainID:</t>
    </r>
    <r>
      <rPr>
        <b/>
        <sz val="10"/>
        <rFont val="游ゴシック"/>
        <family val="3"/>
        <charset val="128"/>
        <scheme val="minor"/>
      </rPr>
      <t>Route</t>
    </r>
    <phoneticPr fontId="26"/>
  </si>
  <si>
    <r>
      <t>route_concept_idに変換
Source_to_concept_map:
VocabID:</t>
    </r>
    <r>
      <rPr>
        <b/>
        <sz val="10"/>
        <rFont val="游ゴシック"/>
        <family val="3"/>
        <charset val="128"/>
        <scheme val="minor"/>
      </rPr>
      <t xml:space="preserve">RINCHU_DRUG
</t>
    </r>
    <r>
      <rPr>
        <sz val="10"/>
        <rFont val="游ゴシック"/>
        <family val="3"/>
        <charset val="128"/>
        <scheme val="minor"/>
      </rPr>
      <t>DomainID:</t>
    </r>
    <r>
      <rPr>
        <b/>
        <sz val="10"/>
        <rFont val="游ゴシック"/>
        <family val="3"/>
        <charset val="128"/>
        <scheme val="minor"/>
      </rPr>
      <t>Drug</t>
    </r>
    <rPh sb="17" eb="19">
      <t>ヘンカン</t>
    </rPh>
    <phoneticPr fontId="26"/>
  </si>
  <si>
    <r>
      <t>measurement_concept_idに変換
Source_to_concept_map:
VocabID:</t>
    </r>
    <r>
      <rPr>
        <b/>
        <sz val="10"/>
        <rFont val="游ゴシック"/>
        <family val="3"/>
        <charset val="128"/>
        <scheme val="minor"/>
      </rPr>
      <t>RINCHU_OBX_CD</t>
    </r>
    <r>
      <rPr>
        <sz val="10"/>
        <rFont val="游ゴシック"/>
        <family val="3"/>
        <charset val="128"/>
        <scheme val="minor"/>
      </rPr>
      <t xml:space="preserve">
DomainID:</t>
    </r>
    <r>
      <rPr>
        <b/>
        <sz val="10"/>
        <rFont val="游ゴシック"/>
        <family val="3"/>
        <charset val="128"/>
        <scheme val="minor"/>
      </rPr>
      <t>Measurement</t>
    </r>
    <rPh sb="23" eb="25">
      <t>ヘンカン</t>
    </rPh>
    <phoneticPr fontId="26"/>
  </si>
  <si>
    <r>
      <t>Source_to_concept_map:
VocabID:</t>
    </r>
    <r>
      <rPr>
        <b/>
        <sz val="10"/>
        <rFont val="游ゴシック"/>
        <family val="3"/>
        <charset val="128"/>
        <scheme val="minor"/>
      </rPr>
      <t>RINCHU_OBX_OPERATOR</t>
    </r>
    <r>
      <rPr>
        <sz val="10"/>
        <rFont val="游ゴシック"/>
        <family val="3"/>
        <charset val="128"/>
        <scheme val="minor"/>
      </rPr>
      <t xml:space="preserve">
DomainID:</t>
    </r>
    <r>
      <rPr>
        <b/>
        <sz val="10"/>
        <rFont val="游ゴシック"/>
        <family val="3"/>
        <charset val="128"/>
        <scheme val="minor"/>
      </rPr>
      <t>Meas Value Operator</t>
    </r>
    <phoneticPr fontId="26"/>
  </si>
  <si>
    <r>
      <t>Source_to_concept_map:
VocabID:</t>
    </r>
    <r>
      <rPr>
        <b/>
        <sz val="10"/>
        <rFont val="游ゴシック"/>
        <family val="3"/>
        <charset val="128"/>
        <scheme val="minor"/>
      </rPr>
      <t>RINCHU_OBX_VALUE</t>
    </r>
    <r>
      <rPr>
        <sz val="10"/>
        <rFont val="游ゴシック"/>
        <family val="3"/>
        <charset val="128"/>
        <scheme val="minor"/>
      </rPr>
      <t xml:space="preserve">
DomainID:</t>
    </r>
    <r>
      <rPr>
        <b/>
        <sz val="10"/>
        <rFont val="游ゴシック"/>
        <family val="3"/>
        <charset val="128"/>
        <scheme val="minor"/>
      </rPr>
      <t>Meas Value</t>
    </r>
    <phoneticPr fontId="26"/>
  </si>
  <si>
    <r>
      <t>Source_to_concept_map:
VocabID:</t>
    </r>
    <r>
      <rPr>
        <b/>
        <sz val="10"/>
        <rFont val="游ゴシック"/>
        <family val="3"/>
        <charset val="128"/>
        <scheme val="minor"/>
      </rPr>
      <t>RINCHU_OBX_UNIT</t>
    </r>
    <r>
      <rPr>
        <sz val="10"/>
        <rFont val="游ゴシック"/>
        <family val="3"/>
        <charset val="128"/>
        <scheme val="minor"/>
      </rPr>
      <t xml:space="preserve">
DomainID:</t>
    </r>
    <r>
      <rPr>
        <b/>
        <sz val="10"/>
        <rFont val="游ゴシック"/>
        <family val="3"/>
        <charset val="128"/>
        <scheme val="minor"/>
      </rPr>
      <t>Unit</t>
    </r>
    <phoneticPr fontId="26"/>
  </si>
  <si>
    <t>RELATED ID COLUMN</t>
    <phoneticPr fontId="1"/>
  </si>
  <si>
    <t>OMOP EVENT TABLE Mapping</t>
    <phoneticPr fontId="1"/>
  </si>
  <si>
    <t>location_source_value</t>
  </si>
  <si>
    <t/>
  </si>
  <si>
    <t>北海道</t>
  </si>
  <si>
    <t>Japan</t>
  </si>
  <si>
    <t>青森県</t>
  </si>
  <si>
    <t>岩手県</t>
  </si>
  <si>
    <t>宮城県</t>
  </si>
  <si>
    <t>秋田県</t>
  </si>
  <si>
    <t>山形県</t>
  </si>
  <si>
    <t>福島県</t>
  </si>
  <si>
    <t>茨城県</t>
  </si>
  <si>
    <t>栃木県</t>
  </si>
  <si>
    <t>群馬県</t>
  </si>
  <si>
    <t>埼玉県</t>
  </si>
  <si>
    <t>千葉県</t>
  </si>
  <si>
    <t>東京都</t>
  </si>
  <si>
    <t>神奈川県</t>
  </si>
  <si>
    <t>新潟県</t>
  </si>
  <si>
    <t>富山県</t>
  </si>
  <si>
    <t>石川県</t>
  </si>
  <si>
    <t>福井県</t>
  </si>
  <si>
    <t>山梨県</t>
  </si>
  <si>
    <t>長野県</t>
  </si>
  <si>
    <t>岐阜県</t>
  </si>
  <si>
    <t>静岡県</t>
  </si>
  <si>
    <t>愛知県</t>
  </si>
  <si>
    <t>三重県</t>
  </si>
  <si>
    <t>滋賀県</t>
  </si>
  <si>
    <t>京都府</t>
  </si>
  <si>
    <t>大阪府</t>
  </si>
  <si>
    <t>兵庫県</t>
  </si>
  <si>
    <t>奈良県</t>
  </si>
  <si>
    <t>和歌山県</t>
  </si>
  <si>
    <t>鳥取県</t>
  </si>
  <si>
    <t>島根県</t>
  </si>
  <si>
    <t>岡山県</t>
  </si>
  <si>
    <t>広島県</t>
  </si>
  <si>
    <t>山口県</t>
  </si>
  <si>
    <t>徳島県</t>
  </si>
  <si>
    <t>香川県</t>
  </si>
  <si>
    <t>愛媛県</t>
  </si>
  <si>
    <t>高知県</t>
  </si>
  <si>
    <t>福岡県</t>
  </si>
  <si>
    <t>佐賀県</t>
  </si>
  <si>
    <t>長崎県</t>
  </si>
  <si>
    <t>熊本県</t>
  </si>
  <si>
    <t>大分県</t>
  </si>
  <si>
    <t>宮崎県</t>
  </si>
  <si>
    <t>鹿児島県</t>
  </si>
  <si>
    <t>沖縄県</t>
  </si>
  <si>
    <t>都道府県番号</t>
    <rPh sb="0" eb="4">
      <t>トドウフケン</t>
    </rPh>
    <rPh sb="4" eb="6">
      <t>バンゴウ</t>
    </rPh>
    <phoneticPr fontId="1"/>
  </si>
  <si>
    <t>郵便番号データ.
JISコード（先頭２桁）</t>
    <rPh sb="0" eb="4">
      <t>ユウビンバンゴウ</t>
    </rPh>
    <rPh sb="16" eb="18">
      <t>セントウ</t>
    </rPh>
    <phoneticPr fontId="1"/>
  </si>
  <si>
    <t>郵便番号データ.
都道府県</t>
    <rPh sb="0" eb="4">
      <t>ユウビンバンゴウ</t>
    </rPh>
    <rPh sb="9" eb="13">
      <t>トドウフケン</t>
    </rPh>
    <phoneticPr fontId="1"/>
  </si>
  <si>
    <t>Sample</t>
    <phoneticPr fontId="1"/>
  </si>
  <si>
    <t>北海道大学病院</t>
  </si>
  <si>
    <t>0608648</t>
  </si>
  <si>
    <t>011</t>
  </si>
  <si>
    <t>東北大学病院</t>
  </si>
  <si>
    <t>9808574</t>
  </si>
  <si>
    <t>1138655</t>
  </si>
  <si>
    <t>1040045</t>
  </si>
  <si>
    <t>国立がん研究センター東病院</t>
  </si>
  <si>
    <t>2778577</t>
  </si>
  <si>
    <t>順天堂大学医学部附属順天堂医院</t>
  </si>
  <si>
    <t>1138431</t>
  </si>
  <si>
    <t>1608582</t>
  </si>
  <si>
    <t>千葉大学医学部附属病院</t>
  </si>
  <si>
    <t>2608677</t>
  </si>
  <si>
    <t>4668560</t>
  </si>
  <si>
    <t>6068507</t>
  </si>
  <si>
    <t>5650871</t>
  </si>
  <si>
    <t>6500017</t>
  </si>
  <si>
    <t>7008558</t>
  </si>
  <si>
    <t>8120054</t>
  </si>
  <si>
    <t>医療機関番号</t>
    <rPh sb="0" eb="6">
      <t>イリョウキカンバンゴウ</t>
    </rPh>
    <phoneticPr fontId="1"/>
  </si>
  <si>
    <t>place_of_service_concept_id</t>
  </si>
  <si>
    <t>National Cancer Center East Hospital</t>
  </si>
  <si>
    <t>Nagoya University Hospital</t>
  </si>
  <si>
    <t>Osaka University Hospital</t>
  </si>
  <si>
    <t>PROVIDER</t>
    <phoneticPr fontId="1"/>
  </si>
  <si>
    <t>race_concept_id</t>
  </si>
  <si>
    <t>race_source_concept_id</t>
  </si>
  <si>
    <t>1</t>
  </si>
  <si>
    <t>F:女性</t>
  </si>
  <si>
    <t>2</t>
  </si>
  <si>
    <t>M:男性</t>
  </si>
  <si>
    <t>3</t>
  </si>
  <si>
    <t>4</t>
  </si>
  <si>
    <t>5</t>
  </si>
  <si>
    <t>6</t>
  </si>
  <si>
    <t>7</t>
  </si>
  <si>
    <t>8</t>
  </si>
  <si>
    <t>9</t>
  </si>
  <si>
    <t>11</t>
  </si>
  <si>
    <t>ADT^A04^ADT_A01|外来診察の受付</t>
  </si>
  <si>
    <t>ADT^A01^ADT_A01|入院実施</t>
  </si>
  <si>
    <t>ADT^A02^ADT_A02|転科・転棟実施</t>
  </si>
  <si>
    <t>ADT^A21^ADT_A21|外出泊実施</t>
  </si>
  <si>
    <t>condition_concept_id</t>
  </si>
  <si>
    <t>condition_type_concept_id</t>
  </si>
  <si>
    <t>condition_status_concept_id</t>
  </si>
  <si>
    <t>condition_source_concept_id</t>
  </si>
  <si>
    <t>F|完全に回復した</t>
  </si>
  <si>
    <t>20061317|C73|甲状腺癌</t>
  </si>
  <si>
    <t>SUSPECT:0|CLASSIFICATION:2</t>
  </si>
  <si>
    <t>I|中止</t>
  </si>
  <si>
    <t>20076905|D849|免疫不全</t>
  </si>
  <si>
    <t>SUSPECT:0|CLASSIFICATION:1</t>
  </si>
  <si>
    <t>20055164|C186|下行結腸癌</t>
  </si>
  <si>
    <t>SUSPECT:1|CLASSIFICATION:2</t>
  </si>
  <si>
    <t>20076677|K861|慢性膵炎</t>
  </si>
  <si>
    <t>U|未知</t>
  </si>
  <si>
    <t>20083829|R579|急性循環不全</t>
  </si>
  <si>
    <t>SUSPECT:1|CLASSIFICATION:1</t>
  </si>
  <si>
    <t>O|その他</t>
  </si>
  <si>
    <t>20073654|I269|肺動脈血栓症</t>
  </si>
  <si>
    <t>R|回復</t>
  </si>
  <si>
    <t>20051094|J304|アレルギー性鼻炎</t>
  </si>
  <si>
    <t>20098764|L984|胸部皮膚潰瘍</t>
  </si>
  <si>
    <t>20086575|C349|小細胞肺癌</t>
  </si>
  <si>
    <t>20078961|D377|膵腫瘍</t>
  </si>
  <si>
    <t>20073383|D65|播種性血管内凝固</t>
  </si>
  <si>
    <t>20055113|K102|下顎骨骨髄炎</t>
  </si>
  <si>
    <t>20075095|F411|不安神経症</t>
  </si>
  <si>
    <t>20052745|E569|ビタミン欠乏症</t>
  </si>
  <si>
    <t>20075310|C319|副鼻腔癌</t>
  </si>
  <si>
    <t>20066872|C320|声門癌</t>
  </si>
  <si>
    <t>20101543|C19|直腸Ｓ状部癌</t>
  </si>
  <si>
    <t>20066248|D410|腎腫瘍</t>
  </si>
  <si>
    <t>20054565|J029|咽頭炎</t>
  </si>
  <si>
    <t>20072538|D486|乳腺腫瘍</t>
  </si>
  <si>
    <t>drug_concept_id</t>
  </si>
  <si>
    <t>IICA9999^緑</t>
  </si>
  <si>
    <t>3319402G4024|1177077010101|ＫＣＬ注２０ｍＥｑキット「テルモ」</t>
  </si>
  <si>
    <t>I2303^脳脊髄注射　腰椎</t>
  </si>
  <si>
    <t>HON|万u</t>
  </si>
  <si>
    <t>3319402G4024|125147001|ジアグノグリーン注射用 25mg</t>
  </si>
  <si>
    <t>1031U00000000000|内服 １日４回 朝昼夕食後と就寝前|Y6012002|ぬり薬　1日1回　部位：口唇</t>
  </si>
  <si>
    <t>2190041F3020|1282115010102|エンレスト錠２００ｍｇ</t>
  </si>
  <si>
    <t>21|内服</t>
  </si>
  <si>
    <t>MCG|B</t>
  </si>
  <si>
    <t>2149118F1020|1219920020301|アイミクス配合錠ＬＤ</t>
  </si>
  <si>
    <t>BTL|ｇ</t>
  </si>
  <si>
    <t>ICU00001^[1kgあたりの投与量:6mg/kg]~ICO00002^[体重:53kg]~ICZ00001^[規定投与量:318mg]~ICS00001^[直接入力値:310mg]~IICA9999^投与時フィルター付きルートを使用すること！~IICA9999^初回60分、2回目～30分可</t>
  </si>
  <si>
    <t>6250402F1036|108472603|50mgオキシコドン注射液「第一三共」</t>
  </si>
  <si>
    <t>I3800^バッグ内に混入</t>
  </si>
  <si>
    <t>MCG|Set</t>
  </si>
  <si>
    <t>6250402F1036|1114621010102|デノシン点滴静注用５００ｍｇ</t>
  </si>
  <si>
    <t>1032KW0000000000|内服 疼痛時 |Y1010005|ぬり薬　1日1回　部位創部</t>
  </si>
  <si>
    <t>3399002F3098|1237306010301|シロスタゾールＯＤ錠５０ｍｇ「トーワ」</t>
  </si>
  <si>
    <t>PCK|Cap</t>
  </si>
  <si>
    <t>1050470000000000|内服 １日２回 ８時、２０時|Y3421081|ぬり薬　1日2回　かゆい所</t>
  </si>
  <si>
    <t>2189016F5023|1223934010301|リバロＯＤ錠２ｍｇ</t>
  </si>
  <si>
    <t>22|頓用</t>
  </si>
  <si>
    <t>PCK|Set</t>
  </si>
  <si>
    <t>1011040000000000|内服 １日５回 起床時と朝昼夕食後と就寝前|Y4701007|はり薬　1日1回　1回1枚　部位体</t>
  </si>
  <si>
    <t>3334402G4071|1172010010201|ヘパリンＮａロック用１００単位／ｍＬシリンジ「オーツカ」１０ｍＬ</t>
  </si>
  <si>
    <t>24|自己注射</t>
  </si>
  <si>
    <t>TOU|Cap</t>
  </si>
  <si>
    <t>1024000000000000|内服 腹痛時 |Y1050999|１日３回 毎食間</t>
  </si>
  <si>
    <t>2590008F2081|1200522020101|タムスロシン塩酸塩ＯＤ錠０．２ｍｇ「日新」</t>
  </si>
  <si>
    <t>MCG|ｍＬ</t>
  </si>
  <si>
    <t>IICA9999^術中は3時間毎、術後は不要（余った分は削除）</t>
  </si>
  <si>
    <t>4291436A1023|120363901|インスリングラルギンBS注ミリオペン</t>
  </si>
  <si>
    <t>I0221^中心静脈 ﾙｰﾄﾒｲﾝ3</t>
  </si>
  <si>
    <t>AMP|mcg</t>
  </si>
  <si>
    <t>4291436A1023|1255188010101|ザルトラップ点滴静注１００ｍｇ</t>
  </si>
  <si>
    <t>1031U00000000000|内服 １日３回 朝昼夕食前|Y6002019|吸入薬　指示通り時　1回1吸入</t>
  </si>
  <si>
    <t>2190009A1048|1035490010203|ケイキサレート散</t>
  </si>
  <si>
    <t>BAG|ＫＴ</t>
  </si>
  <si>
    <t>1013044400000000|内服 １日１回 夕食後|Y3442003|ぬり薬　1日2回　部位：手足</t>
  </si>
  <si>
    <t>2329028F1023|1045390020301|パリエット錠１０ｍｇ</t>
  </si>
  <si>
    <t>ML|mg</t>
  </si>
  <si>
    <t>1032IU0000000000|内服 １日１回 朝食前|Y3001023|ぬり薬　1日2回　部位：すね･ふくらはぎ</t>
  </si>
  <si>
    <t>2144002F2349|1140156010302|エナラプリルマレイン酸塩錠５ｍｇ「トーワ」</t>
  </si>
  <si>
    <t>23|外用</t>
  </si>
  <si>
    <t>KO|mL</t>
  </si>
  <si>
    <t>1011001000000000|内服 １日１回 朝食後|Y3421002|ぬり薬　1日1回　部位皮疹部</t>
  </si>
  <si>
    <t>4291018M1029|1183153010101|スーテントカプセル１２．５ｍｇ</t>
  </si>
  <si>
    <t>AMP|ｇ</t>
  </si>
  <si>
    <t>1032HT0000000000|内服 １日１回 夕食後|Y3401053|ぬり薬　1日2回　部位：口内</t>
  </si>
  <si>
    <t>4490023F1024|1138078010302|アレグラ錠６０ｍｇ</t>
  </si>
  <si>
    <t>ML|mL</t>
  </si>
  <si>
    <t>IICM9999^&lt;！単独投与！希釈はﾌﾞﾄﾞｳ糖液&gt;</t>
  </si>
  <si>
    <t>4291427A3027|107247101|(癌)ｱﾌﾞﾗｷｻﾝ点滴静注用100mg</t>
  </si>
  <si>
    <t>I0209^中心静脈注射 中心静脈ﾙｰﾄﾒｲﾝ2</t>
  </si>
  <si>
    <t>G|g</t>
  </si>
  <si>
    <t>4291427A3027|1266221010101|オプジーボ点滴静注２４０ｍｇ</t>
  </si>
  <si>
    <t>1011010000000000|内服 １日３回 朝夕食後と就寝前|Y3001031|１日３回 医師の指示通り</t>
  </si>
  <si>
    <t>1124008F1067|1120899010202|フルニトラゼパム錠１ｍｇ「アメル」</t>
  </si>
  <si>
    <t>TAB|Ａ</t>
  </si>
  <si>
    <t>IC150166^④本目</t>
  </si>
  <si>
    <t>6112401G2029|117780001|(癌)ガザイバ点滴静注(1000mg/40mL)</t>
  </si>
  <si>
    <t>I1017^硬膜外麻酔後の持続注入</t>
  </si>
  <si>
    <t>G|万u</t>
  </si>
  <si>
    <t>6112401G2029|1182279020101|クリンダマイシン注６００ｍｇシリンジ「タイヨー」</t>
  </si>
  <si>
    <t>IC150159^術後①本目</t>
  </si>
  <si>
    <t>6141400D1031|1112009040201|エリスロシン点滴静注用５００ｍｇ</t>
  </si>
  <si>
    <t>I0501^皮下注射　持続</t>
  </si>
  <si>
    <t>VIL|万u</t>
  </si>
  <si>
    <t>6141400D1031|124405201|（患者限定）ビムパット点滴静注100mg</t>
  </si>
  <si>
    <t>IICB9999^指示簿参照</t>
  </si>
  <si>
    <t>4219405A1025|105304301|ドブトレックス注（100mg/5mL）</t>
  </si>
  <si>
    <t>I0106^点滴静注 末梢側管1</t>
  </si>
  <si>
    <t>4219405A1025|1281903010101|トレアキシン点滴静注液１００ｍｇ／４ｍＬ</t>
  </si>
  <si>
    <t>ICU00001^[絶対量:300mL]~ICZ00001^[規定投与量:300mL]</t>
  </si>
  <si>
    <t>4291417A1020|107305801|(2mg/1mL)ナルベイン注</t>
  </si>
  <si>
    <t>I1800^創洗浄</t>
  </si>
  <si>
    <t>AMP|万u</t>
  </si>
  <si>
    <t>4291417A1020|1198591010101|ベクティビックス点滴静注１００ｍｇ</t>
  </si>
  <si>
    <t>IICA9999^1Vあたり注射用水19mLで溶解~IICA9999^生食で全量を250mLとする~IICA9999^☆2日目以降</t>
  </si>
  <si>
    <t>2190402D3064|1175776020101|プロスタンディン注射用２０μｇ</t>
  </si>
  <si>
    <t>HON|Ａ</t>
  </si>
  <si>
    <t>2190402D3064|120466701|(癌)ﾄﾞｾﾀｷｾﾙ点滴静注「EE」 (20,80mg)</t>
  </si>
  <si>
    <t>ICU00001^[絶対量:0.5mg]~ICZ00001^[規定投与量:0.5mg]</t>
  </si>
  <si>
    <t>1172403A1059|101198202|（癌）バベンチオ点滴静注（200mg/10mL）</t>
  </si>
  <si>
    <t>HON|mL</t>
  </si>
  <si>
    <t>1172403A1059|1013276020101|ヒルナミン筋注２５ｍｇ</t>
  </si>
  <si>
    <t>IC150158^術中追加投与分</t>
  </si>
  <si>
    <t>2499407G3030|1149531010301|リュープリンＳＲ注射用キット１１．２５ｍｇ</t>
  </si>
  <si>
    <t>I0110^点滴静注 末梢側管2</t>
  </si>
  <si>
    <t>2499407G3030|122131201|塩酸モルヒネ注射液200mg/5mL(4%)</t>
  </si>
  <si>
    <t>IICM9999^【適応：骨粗鬆症のみ】</t>
  </si>
  <si>
    <t>2499401A2050|101198202|(癌)ブレオ注射用15mg</t>
  </si>
  <si>
    <t>I3007^動脈注射　その他</t>
  </si>
  <si>
    <t>2499401A2050|1055375020102|プロスタルモン・Ｆ注射液１０００</t>
  </si>
  <si>
    <t>IICB9999^タイミング　手術前日</t>
  </si>
  <si>
    <t>4219401D1031|1090505030101|ダカルバジン注用１００</t>
  </si>
  <si>
    <t>I0405^ﾜﾝｼｮｯﾄ静注 中心静脈ﾙｰﾄﾒｲﾝ1</t>
  </si>
  <si>
    <t>AMP|Ａ</t>
  </si>
  <si>
    <t>4219401D1031|113111603|生理食塩液注（100mL）</t>
  </si>
  <si>
    <t>IICB9999^12時間毎</t>
  </si>
  <si>
    <t>4222400A1036|1090567020201|メソトレキセート点滴静注液２００ｍｇ</t>
  </si>
  <si>
    <t>I0109^点滴静注 中心静脈ﾙｰﾄﾒｲﾝ2</t>
  </si>
  <si>
    <t>VIL|mL</t>
  </si>
  <si>
    <t>4222400A1036|122486301|ソセゴン注15mg</t>
  </si>
  <si>
    <t>ICU00001^[1kgあたりの投与量:6mg/kg]~ICO00002^[体重:43.7kg]~ICZ00001^[規定投与量:262.2mg]~ICS00001^[直接入力値:262mg]</t>
  </si>
  <si>
    <t>2499403A2050|101665902|ｸﾘﾝﾀﾞﾏｲｼﾝ注600mgｼﾘﾝｼﾞ 「ﾀｲﾖｰ」</t>
  </si>
  <si>
    <t>I1400^胸腔内注入</t>
  </si>
  <si>
    <t>VIL|単位</t>
  </si>
  <si>
    <t>2499403A2050|1250480010101|オクトレオチド皮下注１００μｇ「あすか」</t>
  </si>
  <si>
    <t>IICA9999^術中は3時間毎、術後は1回投与</t>
  </si>
  <si>
    <t>3253416A1020|108013102|ハイカリックRF（500mL）</t>
  </si>
  <si>
    <t>I0211^中心静脈注射 中心静脈側管2</t>
  </si>
  <si>
    <t>MCG|Ａ</t>
  </si>
  <si>
    <t>3253416A1020|1287028030101|ライザケア輸液</t>
  </si>
  <si>
    <t>ICU00001^[絶対量:480mg]~ICZ00001^[規定投与量:480mg]</t>
  </si>
  <si>
    <t>4291403A1118|111269602|オノアクト点滴静注用50mg</t>
  </si>
  <si>
    <t>I0308^IVH栄養(埋込ｶﾃ)</t>
  </si>
  <si>
    <t>HON|mcg</t>
  </si>
  <si>
    <t>4291403A1118|1209815040101|カルボプラチン点滴静注液５０ｍｇ「ＴＹＫ」</t>
  </si>
  <si>
    <t>1013011100000000|（ダミー）|Y3001043|吸入薬　1日3回　1回1吸入</t>
  </si>
  <si>
    <t>6419002F1131|1116687010102|フラジール内服錠２５０ｍｇ</t>
  </si>
  <si>
    <t>BAG|Cap</t>
  </si>
  <si>
    <t>1012040400000000|内服 １日５回 起床時と朝昼夕食後と就寝前|Y4001013|ぬり薬　1日3回　かゆい所</t>
  </si>
  <si>
    <t>8219003G1024|1235050020101|タペンタ錠２５ｍｇ</t>
  </si>
  <si>
    <t>KO|cap</t>
  </si>
  <si>
    <t>ICU00001^[絶対量:9.9mg]~ICZ00001^[規定投与量:9.9mg]~ICS00001^[直接入力値:3.3mg]</t>
  </si>
  <si>
    <t>4291413A1022|107176401|イーケプラ点滴静注500mg</t>
  </si>
  <si>
    <t>measurement_concept_id</t>
  </si>
  <si>
    <t>measurement_type_concept_id</t>
  </si>
  <si>
    <t>meas_event_field_concept_id</t>
  </si>
  <si>
    <t>10:24:02</t>
  </si>
  <si>
    <t>3H025000001799801|クレアチニン(CRE)</t>
  </si>
  <si>
    <t>ng/mL</t>
  </si>
  <si>
    <t>12.2</t>
  </si>
  <si>
    <t>13:11:04</t>
  </si>
  <si>
    <t>C8011040120000085|好中球 [個]</t>
  </si>
  <si>
    <t>μU/mL</t>
  </si>
  <si>
    <t>15.1</t>
  </si>
  <si>
    <t>11:41:33</t>
  </si>
  <si>
    <t>E50390401200000F8|コリンエステラーゼ(ChE)</t>
  </si>
  <si>
    <t>g/dL</t>
  </si>
  <si>
    <t>174</t>
  </si>
  <si>
    <t>08:20:59</t>
  </si>
  <si>
    <t>B10380505200000G1|ナトリウム(Na)</t>
  </si>
  <si>
    <t>U/mL</t>
  </si>
  <si>
    <t>21.1</t>
  </si>
  <si>
    <t>08:58:03</t>
  </si>
  <si>
    <t>B20190401200000H6|フェリチン</t>
  </si>
  <si>
    <t>mL/min/1.73m*2</t>
  </si>
  <si>
    <t>267</t>
  </si>
  <si>
    <t>09:01:29</t>
  </si>
  <si>
    <t>C1002040120000055|マグネシウム(Mg)</t>
  </si>
  <si>
    <t>%</t>
  </si>
  <si>
    <t>39.1</t>
  </si>
  <si>
    <t>12:17:26</t>
  </si>
  <si>
    <t>B1038050120000012|尿蛋白定量 [濃度]</t>
  </si>
  <si>
    <t>186</t>
  </si>
  <si>
    <t>09:11:23</t>
  </si>
  <si>
    <t>B10010401200000G5|血小板数(PLT)</t>
  </si>
  <si>
    <t>pg</t>
  </si>
  <si>
    <t>293</t>
  </si>
  <si>
    <t>07:08:54</t>
  </si>
  <si>
    <t>E30570401200000F8|総蛋白(TP)</t>
  </si>
  <si>
    <t>μg/mL</t>
  </si>
  <si>
    <t>ﾎｳｺｸｽﾞﾐ</t>
  </si>
  <si>
    <t>09:51:03</t>
  </si>
  <si>
    <t>B2006046120000061|総鉄結合能（TIBC）</t>
  </si>
  <si>
    <t>mU/mL</t>
  </si>
  <si>
    <t>8.0</t>
  </si>
  <si>
    <t>10:02:06</t>
  </si>
  <si>
    <t>C7006040120000085|総ビリルビン(T-BIL)</t>
  </si>
  <si>
    <t>17.1</t>
  </si>
  <si>
    <t>08:47:39</t>
  </si>
  <si>
    <t>B3009040120000012|CA19-9</t>
  </si>
  <si>
    <t>ng/dL</t>
  </si>
  <si>
    <t>224</t>
  </si>
  <si>
    <t>09:02:36</t>
  </si>
  <si>
    <t>C80030401200000H0|不飽和鉄結合能(UIBC)</t>
  </si>
  <si>
    <t>U/L</t>
  </si>
  <si>
    <t>42.6</t>
  </si>
  <si>
    <t>08:55:27</t>
  </si>
  <si>
    <t>0.96</t>
  </si>
  <si>
    <t>11:52:39</t>
  </si>
  <si>
    <t>A1025040110050101|中性脂肪(TG)</t>
  </si>
  <si>
    <t>76</t>
  </si>
  <si>
    <t>08:12:27</t>
  </si>
  <si>
    <t>3I015000001799801|平均赤血球血色素量(MCH)</t>
  </si>
  <si>
    <t>mm</t>
  </si>
  <si>
    <t>236</t>
  </si>
  <si>
    <t>11:43:43</t>
  </si>
  <si>
    <t>E3019040120000085|HbA1c [NGSP]</t>
  </si>
  <si>
    <t>COI</t>
  </si>
  <si>
    <t>33.4</t>
  </si>
  <si>
    <t>12:47:27</t>
  </si>
  <si>
    <t>5D170000001799801|総ビリルビン(T-BIL)</t>
  </si>
  <si>
    <t>fL</t>
  </si>
  <si>
    <t>137</t>
  </si>
  <si>
    <t>08:49:04</t>
  </si>
  <si>
    <t>E40330401200000C6|LDL-コレステロ-ル(LDL-C)</t>
  </si>
  <si>
    <t>25.1</t>
  </si>
  <si>
    <t>12:40:12</t>
  </si>
  <si>
    <t>C1003040120000055|SPan-1</t>
  </si>
  <si>
    <t>X10*6/μL</t>
  </si>
  <si>
    <t>5.2</t>
  </si>
  <si>
    <t>08:40:05</t>
  </si>
  <si>
    <t>3I060000001799802|CA19-9</t>
  </si>
  <si>
    <t>pg/mL</t>
  </si>
  <si>
    <t>28.1</t>
  </si>
  <si>
    <t>07:10:29</t>
  </si>
  <si>
    <t>E30570401200000F8|白血球数</t>
  </si>
  <si>
    <t>19.0</t>
  </si>
  <si>
    <t>09:19:52</t>
  </si>
  <si>
    <t>5D120000001799801|白血球数</t>
  </si>
  <si>
    <t>&lt;0.5</t>
  </si>
  <si>
    <t>09:50:45</t>
  </si>
  <si>
    <t>C3003040120000088|尿蛋白定量 [濃度]</t>
  </si>
  <si>
    <t>275</t>
  </si>
  <si>
    <t>12:06:12</t>
  </si>
  <si>
    <t>C80030401200000H0|尿素窒素(BUN)</t>
  </si>
  <si>
    <t>11.3</t>
  </si>
  <si>
    <t>10:44:33</t>
  </si>
  <si>
    <t>B1038050520000012|ヘマトクリット(Ht)</t>
  </si>
  <si>
    <t>350</t>
  </si>
  <si>
    <t>20060199|R786|血中のステロイド物質の検出</t>
  </si>
  <si>
    <t>08:19:44</t>
  </si>
  <si>
    <t>B1038050120000012|遊離トリヨードサイロニン(FT3)</t>
  </si>
  <si>
    <t>27.9</t>
  </si>
  <si>
    <t>200|尿</t>
  </si>
  <si>
    <t>200|血液</t>
  </si>
  <si>
    <t>100|血液</t>
  </si>
  <si>
    <t>100|尿</t>
  </si>
  <si>
    <t>100|</t>
  </si>
  <si>
    <t>ChangeLog</t>
    <phoneticPr fontId="1"/>
  </si>
  <si>
    <t>version</t>
    <phoneticPr fontId="1"/>
  </si>
  <si>
    <t>Date</t>
    <phoneticPr fontId="1"/>
  </si>
  <si>
    <t>target</t>
    <phoneticPr fontId="1"/>
  </si>
  <si>
    <t>all</t>
    <phoneticPr fontId="1"/>
  </si>
  <si>
    <t>description</t>
    <phoneticPr fontId="1"/>
  </si>
  <si>
    <t>author</t>
    <phoneticPr fontId="1"/>
  </si>
  <si>
    <t>パイロット検証時点仕様書</t>
    <rPh sb="5" eb="7">
      <t>ケンショウ</t>
    </rPh>
    <rPh sb="7" eb="9">
      <t>ジテン</t>
    </rPh>
    <rPh sb="9" eb="12">
      <t>シヨウショ</t>
    </rPh>
    <phoneticPr fontId="1"/>
  </si>
  <si>
    <t>specialty_concept_id</t>
    <phoneticPr fontId="1"/>
  </si>
  <si>
    <t>specialty_source_value</t>
    <phoneticPr fontId="1"/>
  </si>
  <si>
    <t>location_id</t>
    <phoneticPr fontId="1"/>
  </si>
  <si>
    <t>Prescription Data.
PRES_ROUTE+PRES_ADMINISTRATION_TYPE</t>
    <phoneticPr fontId="1"/>
  </si>
  <si>
    <t>投与経路|用法種別の形式に編集して判読可能な値として登録する</t>
    <rPh sb="0" eb="4">
      <t>トウヨケイロ</t>
    </rPh>
    <rPh sb="5" eb="9">
      <t>ヨウホウシュベツ</t>
    </rPh>
    <phoneticPr fontId="1"/>
  </si>
  <si>
    <t>調剤料単位標準コードと調剤量単位名称を連結して登録する</t>
    <rPh sb="0" eb="5">
      <t>チョウザイリョウタンイ</t>
    </rPh>
    <rPh sb="5" eb="7">
      <t>ヒョウジュン</t>
    </rPh>
    <rPh sb="11" eb="13">
      <t>チョウザイ</t>
    </rPh>
    <rPh sb="13" eb="14">
      <t>リョウ</t>
    </rPh>
    <rPh sb="14" eb="16">
      <t>タンイ</t>
    </rPh>
    <rPh sb="16" eb="18">
      <t>メイショウ</t>
    </rPh>
    <rPh sb="19" eb="21">
      <t>レンケツ</t>
    </rPh>
    <rPh sb="23" eb="25">
      <t>トウロク</t>
    </rPh>
    <phoneticPr fontId="1"/>
  </si>
  <si>
    <t>以下の項目を連結してセットする
・投薬注記
・時間当たりの投薬
・指示</t>
    <rPh sb="0" eb="2">
      <t>イカ</t>
    </rPh>
    <rPh sb="3" eb="5">
      <t>コウモク</t>
    </rPh>
    <rPh sb="6" eb="8">
      <t>レンケツ</t>
    </rPh>
    <rPh sb="23" eb="26">
      <t>ジカンア</t>
    </rPh>
    <rPh sb="29" eb="31">
      <t>トウヤク</t>
    </rPh>
    <rPh sb="33" eb="35">
      <t>シジ</t>
    </rPh>
    <phoneticPr fontId="1"/>
  </si>
  <si>
    <t>投与経路をそのままセットする</t>
    <rPh sb="0" eb="4">
      <t>トウヨケイロ</t>
    </rPh>
    <phoneticPr fontId="1"/>
  </si>
  <si>
    <t>Injection Data.
INJ_DOSAGE_UNIT_CD_S+INJ_ADMINISTRATED_UNIT_NAME_L</t>
    <phoneticPr fontId="1"/>
  </si>
  <si>
    <t>与薬単位標準コードと与薬単位名称を連結してセットする</t>
    <rPh sb="0" eb="2">
      <t>ヨヤク</t>
    </rPh>
    <rPh sb="2" eb="4">
      <t>タンイ</t>
    </rPh>
    <rPh sb="4" eb="6">
      <t>ヒョウジュン</t>
    </rPh>
    <rPh sb="10" eb="12">
      <t>ヨヤク</t>
    </rPh>
    <rPh sb="12" eb="14">
      <t>タンイ</t>
    </rPh>
    <rPh sb="14" eb="16">
      <t>メイショウ</t>
    </rPh>
    <rPh sb="17" eb="19">
      <t>レンケツ</t>
    </rPh>
    <phoneticPr fontId="1"/>
  </si>
  <si>
    <t>STEM_SOURCE</t>
    <phoneticPr fontId="1"/>
  </si>
  <si>
    <t>STEM_SOURCE_TABLE</t>
    <phoneticPr fontId="1"/>
  </si>
  <si>
    <t>STEM_SOURCE_FIELD</t>
    <phoneticPr fontId="1"/>
  </si>
  <si>
    <t>VALUE_SECONDARY_VOCABULARY_ID</t>
  </si>
  <si>
    <t>UNIT_SECONDARY_VOCABULARY_ID</t>
  </si>
  <si>
    <t>QUALIFIER_SECONDARY_VOCABULARY_ID</t>
  </si>
  <si>
    <t>OPERATOR_SECONDARY_VOCABULARY_ID</t>
  </si>
  <si>
    <t>ANATOMIC_SITE_SECONDARY_VOCABULARY_ID</t>
  </si>
  <si>
    <t>STATUS_SECONDARY_VOCABULARY_ID</t>
  </si>
  <si>
    <t>MODIFIER_SECONDARY_VOCABULARY_ID</t>
  </si>
  <si>
    <t>ROUTE_SECONDARY_VOCABULARY_ID</t>
  </si>
  <si>
    <t>SOURCE_VALUE</t>
    <phoneticPr fontId="1"/>
  </si>
  <si>
    <t>SOURCE_DOMAIN_ID</t>
    <phoneticPr fontId="1"/>
  </si>
  <si>
    <t>SOURCE_VOCABULARY_ID</t>
    <phoneticPr fontId="1"/>
  </si>
  <si>
    <t>SECONDARY_VOCABULARY_ID</t>
    <phoneticPr fontId="1"/>
  </si>
  <si>
    <t>CONCEPT_ID</t>
    <phoneticPr fontId="1"/>
  </si>
  <si>
    <t>SOURCE_CONCEPT_ID</t>
    <phoneticPr fontId="1"/>
  </si>
  <si>
    <t>SOURCE_REGVALUE</t>
    <phoneticPr fontId="1"/>
  </si>
  <si>
    <t>TYPE_CATEGORY</t>
    <phoneticPr fontId="1"/>
  </si>
  <si>
    <t>TYPE_CONCEPT_ID</t>
    <phoneticPr fontId="1"/>
  </si>
  <si>
    <t>STEM_LOAD_ROWID</t>
    <phoneticPr fontId="1"/>
  </si>
  <si>
    <t>START_DATE</t>
    <phoneticPr fontId="1"/>
  </si>
  <si>
    <t>START_DATETIME</t>
    <phoneticPr fontId="1"/>
  </si>
  <si>
    <t>START_TIME</t>
    <phoneticPr fontId="1"/>
  </si>
  <si>
    <t>END_DATE</t>
    <phoneticPr fontId="1"/>
  </si>
  <si>
    <t>END_DATETIME</t>
    <phoneticPr fontId="1"/>
  </si>
  <si>
    <t>当該医療機関の医療機関番号を設定する</t>
    <rPh sb="7" eb="13">
      <t>イリョウキカンバンゴウ</t>
    </rPh>
    <rPh sb="14" eb="16">
      <t>セッテイ</t>
    </rPh>
    <phoneticPr fontId="1"/>
  </si>
  <si>
    <t>当該医療機関の施設特性に該当するconcept_idを設定する</t>
    <rPh sb="0" eb="2">
      <t>トウガイ</t>
    </rPh>
    <rPh sb="2" eb="4">
      <t>イリョウ</t>
    </rPh>
    <rPh sb="4" eb="6">
      <t>キカン</t>
    </rPh>
    <rPh sb="7" eb="9">
      <t>シセツ</t>
    </rPh>
    <rPh sb="9" eb="11">
      <t>トクセイ</t>
    </rPh>
    <rPh sb="12" eb="14">
      <t>ガイトウ</t>
    </rPh>
    <rPh sb="27" eb="29">
      <t>セッテイ</t>
    </rPh>
    <phoneticPr fontId="1"/>
  </si>
  <si>
    <t>所在地(都道府県)に該当するlocation_idを設定する</t>
    <rPh sb="0" eb="3">
      <t>ショザイチ</t>
    </rPh>
    <rPh sb="4" eb="8">
      <t>トドウフケン</t>
    </rPh>
    <rPh sb="10" eb="12">
      <t>ガイトウ</t>
    </rPh>
    <rPh sb="26" eb="28">
      <t>セッテイ</t>
    </rPh>
    <phoneticPr fontId="1"/>
  </si>
  <si>
    <t>当該医療機関の医療機関番号を設定する</t>
    <rPh sb="0" eb="2">
      <t>トウガイ</t>
    </rPh>
    <rPh sb="2" eb="4">
      <t>イリョウ</t>
    </rPh>
    <rPh sb="4" eb="6">
      <t>キカン</t>
    </rPh>
    <rPh sb="7" eb="9">
      <t>イリョウ</t>
    </rPh>
    <rPh sb="9" eb="11">
      <t>キカン</t>
    </rPh>
    <rPh sb="11" eb="13">
      <t>バンゴウ</t>
    </rPh>
    <rPh sb="14" eb="16">
      <t>セッテイ</t>
    </rPh>
    <phoneticPr fontId="1"/>
  </si>
  <si>
    <t>・当テーブルは郵便局HPから取得する郵便番号CSVデータから、都道府県番号と都道府県名に集約した情報を登録する</t>
    <rPh sb="1" eb="2">
      <t>トウ</t>
    </rPh>
    <rPh sb="31" eb="37">
      <t>トドウフケンバンゴウ</t>
    </rPh>
    <rPh sb="38" eb="43">
      <t>トドウフケンメイ</t>
    </rPh>
    <rPh sb="44" eb="46">
      <t>シュウヤク</t>
    </rPh>
    <rPh sb="48" eb="50">
      <t>ジョウホウ</t>
    </rPh>
    <rPh sb="51" eb="53">
      <t>トウロク</t>
    </rPh>
    <phoneticPr fontId="1"/>
  </si>
  <si>
    <t>・当テーブルは臨中ネット参加施設の医療機関番号を調査した結果を登録する</t>
    <rPh sb="1" eb="2">
      <t>トウ</t>
    </rPh>
    <rPh sb="7" eb="9">
      <t>リンチュウ</t>
    </rPh>
    <rPh sb="12" eb="14">
      <t>サンカ</t>
    </rPh>
    <rPh sb="14" eb="16">
      <t>シセツ</t>
    </rPh>
    <rPh sb="17" eb="19">
      <t>イリョウ</t>
    </rPh>
    <rPh sb="19" eb="23">
      <t>キカンバンゴウ</t>
    </rPh>
    <rPh sb="24" eb="26">
      <t>チョウサ</t>
    </rPh>
    <rPh sb="28" eb="30">
      <t>ケッカ</t>
    </rPh>
    <rPh sb="31" eb="33">
      <t>トウロク</t>
    </rPh>
    <phoneticPr fontId="1"/>
  </si>
  <si>
    <t>・あらかじめCSVファイルで登録データを作成し、環境構築時にデータを投入する</t>
    <rPh sb="14" eb="16">
      <t>トウロク</t>
    </rPh>
    <rPh sb="20" eb="22">
      <t>サクセイ</t>
    </rPh>
    <rPh sb="24" eb="29">
      <t>カンキョウコウチクジ</t>
    </rPh>
    <rPh sb="34" eb="36">
      <t>トウニュウ</t>
    </rPh>
    <phoneticPr fontId="1"/>
  </si>
  <si>
    <t>長崎大学病院</t>
    <phoneticPr fontId="1"/>
  </si>
  <si>
    <t>広島大学病院</t>
    <phoneticPr fontId="1"/>
  </si>
  <si>
    <t>郵便番号</t>
    <rPh sb="0" eb="4">
      <t>ユウビンバンゴウ</t>
    </rPh>
    <phoneticPr fontId="1"/>
  </si>
  <si>
    <t>都道府県</t>
    <rPh sb="0" eb="4">
      <t>トドウフケン</t>
    </rPh>
    <phoneticPr fontId="1"/>
  </si>
  <si>
    <t>Hokkaido University Hospital</t>
  </si>
  <si>
    <t>Tohoku University Hospital</t>
  </si>
  <si>
    <t>National Cancer Center Central Hospital</t>
  </si>
  <si>
    <t>Juntendo University Hospital</t>
  </si>
  <si>
    <t>Keio University Hospital　</t>
  </si>
  <si>
    <t>Chiba University Hospital</t>
  </si>
  <si>
    <t>Kyoto University Hospital</t>
  </si>
  <si>
    <t>Kobe University Hospital</t>
  </si>
  <si>
    <t>Okayama University Hospital</t>
  </si>
  <si>
    <t>Kyushu University Hospital</t>
  </si>
  <si>
    <t>Nagasaki University Hospital</t>
  </si>
  <si>
    <t>Hiroshima University Hospital</t>
  </si>
  <si>
    <t>Tokyo University Hospital</t>
  </si>
  <si>
    <t>・当テーブルはSS-MIX2 標準化ストレージ仕様書 別紙：コード表 P19 2.3 使用者定義コード表 表 53 使用者定義表-#0069 診療部門の診療科名をセットする</t>
    <rPh sb="1" eb="2">
      <t>トウ</t>
    </rPh>
    <phoneticPr fontId="1"/>
  </si>
  <si>
    <t>第１内科</t>
  </si>
  <si>
    <t>012</t>
  </si>
  <si>
    <t>第２内科</t>
  </si>
  <si>
    <t>013</t>
  </si>
  <si>
    <t>第３内科</t>
  </si>
  <si>
    <t>014</t>
  </si>
  <si>
    <t>第４内科</t>
  </si>
  <si>
    <t>018</t>
  </si>
  <si>
    <t>一般内科</t>
  </si>
  <si>
    <t>01A</t>
  </si>
  <si>
    <t>被爆放射線医療内科</t>
  </si>
  <si>
    <t>021</t>
  </si>
  <si>
    <t>精神科・心の診療科</t>
  </si>
  <si>
    <t>022</t>
  </si>
  <si>
    <t>精神科デイケア</t>
  </si>
  <si>
    <t>03</t>
  </si>
  <si>
    <t>神経科</t>
  </si>
  <si>
    <t>04</t>
  </si>
  <si>
    <t>神経内科</t>
  </si>
  <si>
    <t>04A</t>
  </si>
  <si>
    <t>てんかん科</t>
  </si>
  <si>
    <t>04B</t>
  </si>
  <si>
    <t>もの忘れ科</t>
  </si>
  <si>
    <t>04D</t>
  </si>
  <si>
    <t>頭痛外来</t>
  </si>
  <si>
    <t>04E</t>
  </si>
  <si>
    <t>脳卒中外来</t>
  </si>
  <si>
    <t>051</t>
  </si>
  <si>
    <t>呼吸器・アレルギー科</t>
  </si>
  <si>
    <t>052</t>
  </si>
  <si>
    <t>呼吸器・感染症内科</t>
  </si>
  <si>
    <t>05A</t>
  </si>
  <si>
    <t>せき外来</t>
  </si>
  <si>
    <t>05B</t>
  </si>
  <si>
    <t>禁煙外来</t>
  </si>
  <si>
    <t>061</t>
  </si>
  <si>
    <t>肝臓内科</t>
  </si>
  <si>
    <t>062</t>
  </si>
  <si>
    <t>肝胆膵科</t>
  </si>
  <si>
    <t>063</t>
  </si>
  <si>
    <t>膵臓内科</t>
  </si>
  <si>
    <t>064</t>
  </si>
  <si>
    <t>胆道・膵臓内科</t>
  </si>
  <si>
    <t>06A</t>
  </si>
  <si>
    <t>肝臓病科</t>
  </si>
  <si>
    <t>06B</t>
  </si>
  <si>
    <t>脂肪肝外来</t>
  </si>
  <si>
    <t>07</t>
  </si>
  <si>
    <t>胃腸科</t>
  </si>
  <si>
    <t>07A</t>
  </si>
  <si>
    <t>炎症性腸疾患外来</t>
  </si>
  <si>
    <t>07B</t>
  </si>
  <si>
    <t>ピロリ菌外来</t>
  </si>
  <si>
    <t>08</t>
  </si>
  <si>
    <t>循環器科</t>
  </si>
  <si>
    <t>081</t>
  </si>
  <si>
    <t>循環器内科</t>
  </si>
  <si>
    <t>082</t>
  </si>
  <si>
    <t>冠動脈疾患治療部</t>
  </si>
  <si>
    <t>083</t>
  </si>
  <si>
    <t>リンパ科</t>
  </si>
  <si>
    <t>09</t>
  </si>
  <si>
    <t>小児科</t>
  </si>
  <si>
    <t>091</t>
  </si>
  <si>
    <t>小児科周産母子</t>
  </si>
  <si>
    <t>092</t>
  </si>
  <si>
    <t>新生児科</t>
  </si>
  <si>
    <t>093</t>
  </si>
  <si>
    <t>小児循環器科</t>
  </si>
  <si>
    <t>094</t>
  </si>
  <si>
    <t>小児神経科</t>
  </si>
  <si>
    <t>095</t>
  </si>
  <si>
    <t>未熟児センター</t>
  </si>
  <si>
    <t>096</t>
  </si>
  <si>
    <t>ＮＩＣＵ</t>
  </si>
  <si>
    <t>097</t>
  </si>
  <si>
    <t>09A</t>
  </si>
  <si>
    <t>成長発達外来</t>
  </si>
  <si>
    <t>101</t>
  </si>
  <si>
    <t>第１外科</t>
  </si>
  <si>
    <t>102</t>
  </si>
  <si>
    <t>第２外科</t>
  </si>
  <si>
    <t>103</t>
  </si>
  <si>
    <t>第３外科</t>
  </si>
  <si>
    <t>105</t>
  </si>
  <si>
    <t>一般外科</t>
  </si>
  <si>
    <t>106</t>
  </si>
  <si>
    <t>総合外科</t>
  </si>
  <si>
    <t>107</t>
  </si>
  <si>
    <t>病態外科</t>
  </si>
  <si>
    <t>10A</t>
  </si>
  <si>
    <t>被爆放射線医療外科</t>
  </si>
  <si>
    <t>整形外科</t>
  </si>
  <si>
    <t>111</t>
  </si>
  <si>
    <t>整形外科・脊椎外科</t>
  </si>
  <si>
    <t>112</t>
  </si>
  <si>
    <t>脊椎外科</t>
  </si>
  <si>
    <t>113</t>
  </si>
  <si>
    <t>ロコモティブ外来</t>
  </si>
  <si>
    <t>114</t>
  </si>
  <si>
    <t>人工関節センター</t>
  </si>
  <si>
    <t>115</t>
  </si>
  <si>
    <t>装具外来</t>
  </si>
  <si>
    <t>116</t>
  </si>
  <si>
    <t>アスリート診療</t>
  </si>
  <si>
    <t>117</t>
  </si>
  <si>
    <t>スポーツ医学</t>
  </si>
  <si>
    <t>119</t>
  </si>
  <si>
    <t>関節外科</t>
  </si>
  <si>
    <t>11A</t>
  </si>
  <si>
    <t>手外科</t>
  </si>
  <si>
    <t>形成外科・美容外科</t>
  </si>
  <si>
    <t>122</t>
  </si>
  <si>
    <t>再建外科</t>
  </si>
  <si>
    <t>13</t>
  </si>
  <si>
    <t>美容外科</t>
  </si>
  <si>
    <t>14</t>
  </si>
  <si>
    <t>脳神経外科</t>
  </si>
  <si>
    <t>141</t>
  </si>
  <si>
    <t>脳腫瘍科</t>
  </si>
  <si>
    <t>15</t>
  </si>
  <si>
    <t>呼吸器外科</t>
  </si>
  <si>
    <t>16</t>
  </si>
  <si>
    <t>心臓血管外科</t>
  </si>
  <si>
    <t>162</t>
  </si>
  <si>
    <t>心臓外科</t>
  </si>
  <si>
    <t>163</t>
  </si>
  <si>
    <t>胸部外科</t>
  </si>
  <si>
    <t>164</t>
  </si>
  <si>
    <t>循環器外科</t>
  </si>
  <si>
    <t>165</t>
  </si>
  <si>
    <t>心臓・人工臓器外科</t>
  </si>
  <si>
    <t>171</t>
  </si>
  <si>
    <t>小児外科（周産母子）</t>
  </si>
  <si>
    <t>18</t>
  </si>
  <si>
    <t>皮膚泌尿器科</t>
  </si>
  <si>
    <t>191</t>
  </si>
  <si>
    <t>皮膚科・レーザ科</t>
  </si>
  <si>
    <t>192</t>
  </si>
  <si>
    <t>紫外線外来</t>
  </si>
  <si>
    <t>201</t>
  </si>
  <si>
    <t>泌尿器科・男性科</t>
  </si>
  <si>
    <t>202</t>
  </si>
  <si>
    <t>コンチネンス外来</t>
  </si>
  <si>
    <t>21</t>
  </si>
  <si>
    <t>性病科</t>
  </si>
  <si>
    <t>22</t>
  </si>
  <si>
    <t>肛門科</t>
  </si>
  <si>
    <t>221</t>
  </si>
  <si>
    <t>ストマケア外来</t>
  </si>
  <si>
    <t>23</t>
  </si>
  <si>
    <t>産婦人科</t>
  </si>
  <si>
    <t>230</t>
  </si>
  <si>
    <t>産科婦人科</t>
  </si>
  <si>
    <t>女性外科</t>
  </si>
  <si>
    <t>24</t>
  </si>
  <si>
    <t>産科</t>
  </si>
  <si>
    <t>241</t>
  </si>
  <si>
    <t>助産師外来</t>
  </si>
  <si>
    <t>251</t>
  </si>
  <si>
    <t>不妊内分泌科</t>
  </si>
  <si>
    <t>252</t>
  </si>
  <si>
    <t>周産科</t>
  </si>
  <si>
    <t>253</t>
  </si>
  <si>
    <t>周産期母性科</t>
  </si>
  <si>
    <t>254</t>
  </si>
  <si>
    <t>婦人周産期科</t>
  </si>
  <si>
    <t>255</t>
  </si>
  <si>
    <t>腹腔鏡外来</t>
  </si>
  <si>
    <t>25A</t>
  </si>
  <si>
    <t>女性科</t>
  </si>
  <si>
    <t>25B</t>
  </si>
  <si>
    <t>女性外来</t>
  </si>
  <si>
    <t>25C</t>
  </si>
  <si>
    <t>女性診療科・産科</t>
  </si>
  <si>
    <t>眼科・視覚矯正科</t>
  </si>
  <si>
    <t>262</t>
  </si>
  <si>
    <t>白内障外来</t>
  </si>
  <si>
    <t>263</t>
  </si>
  <si>
    <t>コンタクトレンズ外来</t>
  </si>
  <si>
    <t>264</t>
  </si>
  <si>
    <t>ドライアイ外来</t>
  </si>
  <si>
    <t>265</t>
  </si>
  <si>
    <t>ぶどう膜炎外来</t>
  </si>
  <si>
    <t>266</t>
  </si>
  <si>
    <t>角膜・眼アレルギー外来</t>
  </si>
  <si>
    <t>網膜疾患外来</t>
  </si>
  <si>
    <t>26A</t>
  </si>
  <si>
    <t>角膜移植部</t>
  </si>
  <si>
    <t>27</t>
  </si>
  <si>
    <t>耳鼻咽喉科</t>
  </si>
  <si>
    <t>耳鼻咽喉科・神経耳科</t>
  </si>
  <si>
    <t>Code</t>
  </si>
  <si>
    <t>System</t>
  </si>
  <si>
    <t>Display</t>
  </si>
  <si>
    <t>NCCE</t>
    <phoneticPr fontId="1"/>
  </si>
  <si>
    <t>urn:oid:1.2.392.200250.2.2.2</t>
  </si>
  <si>
    <t>○</t>
    <phoneticPr fontId="1"/>
  </si>
  <si>
    <t>12</t>
  </si>
  <si>
    <t>形成外科</t>
  </si>
  <si>
    <t>28</t>
  </si>
  <si>
    <t>気管食道科</t>
  </si>
  <si>
    <t>33</t>
  </si>
  <si>
    <t>心療内科</t>
  </si>
  <si>
    <t>34</t>
  </si>
  <si>
    <t>アレルギー科</t>
  </si>
  <si>
    <t>35</t>
  </si>
  <si>
    <t>リウマチ科</t>
  </si>
  <si>
    <t>37</t>
  </si>
  <si>
    <t>病理診断科</t>
  </si>
  <si>
    <t>38</t>
  </si>
  <si>
    <t>臨床検査科</t>
  </si>
  <si>
    <t>39</t>
  </si>
  <si>
    <t>救急科</t>
  </si>
  <si>
    <t>40</t>
  </si>
  <si>
    <t>遺伝科</t>
  </si>
  <si>
    <t>41</t>
  </si>
  <si>
    <t>血液内科</t>
  </si>
  <si>
    <t>42</t>
  </si>
  <si>
    <t>血液腫瘍内科</t>
  </si>
  <si>
    <t>43</t>
  </si>
  <si>
    <t>血液透析科</t>
  </si>
  <si>
    <t>44</t>
  </si>
  <si>
    <t>健診科</t>
  </si>
  <si>
    <t>45</t>
  </si>
  <si>
    <t>呼吸器内科</t>
  </si>
  <si>
    <t>46</t>
  </si>
  <si>
    <t>在宅診療科</t>
  </si>
  <si>
    <t>47</t>
  </si>
  <si>
    <t>腫瘍診療科</t>
  </si>
  <si>
    <t>48</t>
  </si>
  <si>
    <t>腎臓内科</t>
  </si>
  <si>
    <t>49</t>
  </si>
  <si>
    <t>睡眠診療部</t>
  </si>
  <si>
    <t>50</t>
  </si>
  <si>
    <t>精神神経科</t>
  </si>
  <si>
    <t>51</t>
  </si>
  <si>
    <t>総合診療科</t>
  </si>
  <si>
    <t>52</t>
  </si>
  <si>
    <t>内視鏡診療部</t>
  </si>
  <si>
    <t>53</t>
  </si>
  <si>
    <t>内分泌・代謝科</t>
  </si>
  <si>
    <t>54</t>
  </si>
  <si>
    <t>膠原病科</t>
  </si>
  <si>
    <t>70</t>
  </si>
  <si>
    <t>消化器内科</t>
  </si>
  <si>
    <t>71</t>
  </si>
  <si>
    <t>内分泌内科</t>
  </si>
  <si>
    <t>72</t>
  </si>
  <si>
    <t>代謝内科</t>
  </si>
  <si>
    <t>73</t>
  </si>
  <si>
    <t>糖尿病内科</t>
  </si>
  <si>
    <t>74</t>
  </si>
  <si>
    <t>腎臓・内分泌内科</t>
  </si>
  <si>
    <t>75</t>
  </si>
  <si>
    <t>感染症科</t>
  </si>
  <si>
    <t>漢方科</t>
  </si>
  <si>
    <t>77</t>
  </si>
  <si>
    <t>老年科</t>
  </si>
  <si>
    <t>78</t>
  </si>
  <si>
    <t>血管外科</t>
  </si>
  <si>
    <t>79</t>
  </si>
  <si>
    <t>血管内治療科</t>
  </si>
  <si>
    <t>7A</t>
  </si>
  <si>
    <t>消化器外科</t>
  </si>
  <si>
    <t>7B</t>
  </si>
  <si>
    <t>上部消化管外科</t>
  </si>
  <si>
    <t>7C</t>
  </si>
  <si>
    <t>下部消化管外科</t>
  </si>
  <si>
    <t>80</t>
  </si>
  <si>
    <t>肝胆膵外科</t>
  </si>
  <si>
    <t>81</t>
  </si>
  <si>
    <t>移植外科</t>
  </si>
  <si>
    <t>82</t>
  </si>
  <si>
    <t>乳腺外科</t>
  </si>
  <si>
    <t>84</t>
  </si>
  <si>
    <t>集中治療部</t>
  </si>
  <si>
    <t>85</t>
  </si>
  <si>
    <t>遺伝子診療部</t>
  </si>
  <si>
    <t>86</t>
  </si>
  <si>
    <t>顎口腔診療科</t>
  </si>
  <si>
    <t>87</t>
  </si>
  <si>
    <t>輸血診療部</t>
  </si>
  <si>
    <t>88</t>
  </si>
  <si>
    <t>予防医学診療部</t>
  </si>
  <si>
    <t>89</t>
  </si>
  <si>
    <t>予防接種科</t>
  </si>
  <si>
    <t>8A</t>
  </si>
  <si>
    <t>先端医療開発診療</t>
  </si>
  <si>
    <t>8B</t>
  </si>
  <si>
    <t>分子診療・細胞治療</t>
  </si>
  <si>
    <t>8C</t>
  </si>
  <si>
    <t>特殊外来</t>
  </si>
  <si>
    <t>8D</t>
  </si>
  <si>
    <t>手術部</t>
  </si>
  <si>
    <t>8E</t>
  </si>
  <si>
    <t>薬剤部</t>
  </si>
  <si>
    <t>8G</t>
  </si>
  <si>
    <t>栄養指導科</t>
  </si>
  <si>
    <t>8H</t>
  </si>
  <si>
    <t>看護部</t>
  </si>
  <si>
    <t>8J</t>
  </si>
  <si>
    <t>地域医療連携部</t>
  </si>
  <si>
    <t>8K</t>
  </si>
  <si>
    <t>治験センター</t>
  </si>
  <si>
    <t>90</t>
  </si>
  <si>
    <t>歯科</t>
  </si>
  <si>
    <t>04C</t>
  </si>
  <si>
    <t>高次脳機能障害科</t>
  </si>
  <si>
    <t>ＧＣＵ</t>
  </si>
  <si>
    <t>272</t>
  </si>
  <si>
    <t>耳鼻咽喉・頭頸部外科</t>
  </si>
  <si>
    <t>273</t>
  </si>
  <si>
    <t>困難気道外来</t>
  </si>
  <si>
    <t>274</t>
  </si>
  <si>
    <t>頭頸部科</t>
  </si>
  <si>
    <t>301</t>
  </si>
  <si>
    <t>放射線部</t>
  </si>
  <si>
    <t>302</t>
  </si>
  <si>
    <t>放射線診断科</t>
  </si>
  <si>
    <t>303</t>
  </si>
  <si>
    <t>放射線画像診断・ＩＶＲ科</t>
  </si>
  <si>
    <t>304</t>
  </si>
  <si>
    <t>核医学科</t>
  </si>
  <si>
    <t>30B</t>
  </si>
  <si>
    <t>放射線治療科</t>
  </si>
  <si>
    <t>30C</t>
  </si>
  <si>
    <t>Ｘ線科</t>
  </si>
  <si>
    <t>311</t>
  </si>
  <si>
    <t>麻酔・疼痛・緩和医療科</t>
  </si>
  <si>
    <t>312</t>
  </si>
  <si>
    <t>麻酔科蘇生科</t>
  </si>
  <si>
    <t>313</t>
  </si>
  <si>
    <t>麻酔・疼痛科</t>
  </si>
  <si>
    <t>31A</t>
  </si>
  <si>
    <t>ペインクリニック科</t>
  </si>
  <si>
    <t>心身医学科</t>
  </si>
  <si>
    <t>332</t>
  </si>
  <si>
    <t>心の内科</t>
  </si>
  <si>
    <t>333</t>
  </si>
  <si>
    <t>こどものこころ診療</t>
  </si>
  <si>
    <t>334</t>
  </si>
  <si>
    <t>小児精神科</t>
  </si>
  <si>
    <t>34A</t>
  </si>
  <si>
    <t>環境医学外来（アレルギー科）</t>
  </si>
  <si>
    <t>34B</t>
  </si>
  <si>
    <t>アレルギー内科</t>
  </si>
  <si>
    <t>34C</t>
  </si>
  <si>
    <t>アレルギー・免疫内科</t>
  </si>
  <si>
    <t>34D</t>
  </si>
  <si>
    <t>アレルギー・リウマチ内科</t>
  </si>
  <si>
    <t>35A</t>
  </si>
  <si>
    <t>リウマチ内科</t>
  </si>
  <si>
    <t>35B</t>
  </si>
  <si>
    <t>内分泌・リウマチ科</t>
  </si>
  <si>
    <t>361</t>
  </si>
  <si>
    <t>言語療法科</t>
  </si>
  <si>
    <t>362</t>
  </si>
  <si>
    <t>股体不自由リハビリテーション科</t>
  </si>
  <si>
    <t>363</t>
  </si>
  <si>
    <t>内部障害リハビリテーション科</t>
  </si>
  <si>
    <t>364</t>
  </si>
  <si>
    <t>理学療法科</t>
  </si>
  <si>
    <t>365</t>
  </si>
  <si>
    <t>物理療法内科</t>
  </si>
  <si>
    <t>391</t>
  </si>
  <si>
    <t>救命救急センター</t>
  </si>
  <si>
    <t>392</t>
  </si>
  <si>
    <t>内科系救急科</t>
  </si>
  <si>
    <t>393</t>
  </si>
  <si>
    <t>救急外科</t>
  </si>
  <si>
    <t>394</t>
  </si>
  <si>
    <t>外科系救急科</t>
  </si>
  <si>
    <t>398</t>
  </si>
  <si>
    <t>初期診療・救急科</t>
  </si>
  <si>
    <t>41C</t>
  </si>
  <si>
    <t>血液免疫科</t>
  </si>
  <si>
    <t>41D</t>
  </si>
  <si>
    <t>血液科</t>
  </si>
  <si>
    <t>421</t>
  </si>
  <si>
    <t>無菌治療部</t>
  </si>
  <si>
    <t>431</t>
  </si>
  <si>
    <t>血液浄化療法部</t>
  </si>
  <si>
    <t>432</t>
  </si>
  <si>
    <t>透析治療部</t>
  </si>
  <si>
    <t>471</t>
  </si>
  <si>
    <t>腫瘍内科</t>
  </si>
  <si>
    <t>472</t>
  </si>
  <si>
    <t>化学療法部</t>
  </si>
  <si>
    <t>473</t>
  </si>
  <si>
    <t>小児腫瘍科</t>
  </si>
  <si>
    <t>474</t>
  </si>
  <si>
    <t>精神腫瘍外来</t>
  </si>
  <si>
    <t>475</t>
  </si>
  <si>
    <t>免疫療法外来</t>
  </si>
  <si>
    <t>476</t>
  </si>
  <si>
    <t>脳腫瘍診療部</t>
  </si>
  <si>
    <t>48D</t>
  </si>
  <si>
    <t>腎不全科</t>
  </si>
  <si>
    <t>48E</t>
  </si>
  <si>
    <t>腎移植科</t>
  </si>
  <si>
    <t>491</t>
  </si>
  <si>
    <t>睡眠時無呼吸症候群外来</t>
  </si>
  <si>
    <t>51A</t>
  </si>
  <si>
    <t>予診科</t>
  </si>
  <si>
    <t>51B</t>
  </si>
  <si>
    <t>初診科</t>
  </si>
  <si>
    <t>51G</t>
  </si>
  <si>
    <t>総合内科</t>
  </si>
  <si>
    <t>521</t>
  </si>
  <si>
    <t>光学医療診療部</t>
  </si>
  <si>
    <t>53A</t>
  </si>
  <si>
    <t>内分泌・代謝内科</t>
  </si>
  <si>
    <t>54A</t>
  </si>
  <si>
    <t>膠原病内科</t>
  </si>
  <si>
    <t>54B</t>
  </si>
  <si>
    <t>膠原病・アレルギ—内科</t>
  </si>
  <si>
    <t>54C</t>
  </si>
  <si>
    <t>膠原病・アレルギ—・リウマチ内科</t>
  </si>
  <si>
    <t>54D</t>
  </si>
  <si>
    <t>免疫・膠原病・感染症科</t>
  </si>
  <si>
    <t>54E</t>
  </si>
  <si>
    <t>膠原病・リウマチ内科</t>
  </si>
  <si>
    <t>54F</t>
  </si>
  <si>
    <t>膠原病・感染症内科</t>
  </si>
  <si>
    <t>54G</t>
  </si>
  <si>
    <t>免疫・膠原病内科</t>
  </si>
  <si>
    <t>70A</t>
  </si>
  <si>
    <t>消化管内科</t>
  </si>
  <si>
    <t>72A</t>
  </si>
  <si>
    <t>骨粗鬆症外来</t>
  </si>
  <si>
    <t>731</t>
  </si>
  <si>
    <t>糖尿病科</t>
  </si>
  <si>
    <t>73B</t>
  </si>
  <si>
    <t>糖尿病・代謝内科</t>
  </si>
  <si>
    <t>73C</t>
  </si>
  <si>
    <t>糖尿病・内分泌内科</t>
  </si>
  <si>
    <t>73D</t>
  </si>
  <si>
    <t>糖尿病・代謝・内分泌内科</t>
  </si>
  <si>
    <t>73F</t>
  </si>
  <si>
    <t>肝臓・糖尿病・内分泌内科</t>
  </si>
  <si>
    <t>73G</t>
  </si>
  <si>
    <t>糖尿病・栄養内科</t>
  </si>
  <si>
    <t>74A</t>
  </si>
  <si>
    <t>腎・高血圧・脳血管科</t>
  </si>
  <si>
    <t>74B</t>
  </si>
  <si>
    <t>腎・高血圧・内分泌科</t>
  </si>
  <si>
    <t>74C</t>
  </si>
  <si>
    <t>腎臓・内分泌代謝内科</t>
  </si>
  <si>
    <t>751</t>
  </si>
  <si>
    <t>感染症内科</t>
  </si>
  <si>
    <t>752</t>
  </si>
  <si>
    <t>総合感染症科</t>
  </si>
  <si>
    <t>753</t>
  </si>
  <si>
    <t>感染症管理治療部</t>
  </si>
  <si>
    <t>754</t>
  </si>
  <si>
    <t>感染制御部</t>
  </si>
  <si>
    <t>761</t>
  </si>
  <si>
    <t>漢方内科</t>
  </si>
  <si>
    <t>762</t>
  </si>
  <si>
    <t>和漢診療科</t>
  </si>
  <si>
    <t>771</t>
  </si>
  <si>
    <t>老年病内科</t>
  </si>
  <si>
    <t>772</t>
  </si>
  <si>
    <t>老人科</t>
  </si>
  <si>
    <t>79A</t>
  </si>
  <si>
    <t>脳血管内治療科</t>
  </si>
  <si>
    <t>7A1</t>
  </si>
  <si>
    <t>消化管外科</t>
  </si>
  <si>
    <t>7B1</t>
  </si>
  <si>
    <t>食道外科</t>
  </si>
  <si>
    <t>7B2</t>
  </si>
  <si>
    <t>食道・胃腸外科</t>
  </si>
  <si>
    <t>7B3</t>
  </si>
  <si>
    <t>胃・食道外科</t>
  </si>
  <si>
    <t>7B4</t>
  </si>
  <si>
    <t>胃腸外科</t>
  </si>
  <si>
    <t>7B5</t>
  </si>
  <si>
    <t>胃外科</t>
  </si>
  <si>
    <t>7C1</t>
  </si>
  <si>
    <t>大腸外科</t>
  </si>
  <si>
    <t>7C2</t>
  </si>
  <si>
    <t>大腸・肛門外科</t>
  </si>
  <si>
    <t>801</t>
  </si>
  <si>
    <t>肝胆外科</t>
  </si>
  <si>
    <t>802</t>
  </si>
  <si>
    <t>肝胆膵・移植外科</t>
  </si>
  <si>
    <t>811</t>
  </si>
  <si>
    <t>移植・再建・内視鏡外科</t>
  </si>
  <si>
    <t>812</t>
  </si>
  <si>
    <t>人工臓器移植外科</t>
  </si>
  <si>
    <t>813</t>
  </si>
  <si>
    <t>移植診療部</t>
  </si>
  <si>
    <t>814</t>
  </si>
  <si>
    <t>骨バンク</t>
  </si>
  <si>
    <t>821</t>
  </si>
  <si>
    <t>乳腺内分泌外科</t>
  </si>
  <si>
    <t>822</t>
  </si>
  <si>
    <t>乳腺・甲状腺外科</t>
  </si>
  <si>
    <t>823</t>
  </si>
  <si>
    <t>乳腺・内分泌外科</t>
  </si>
  <si>
    <t>824</t>
  </si>
  <si>
    <t>ブレストセンター</t>
  </si>
  <si>
    <t>831</t>
  </si>
  <si>
    <t>緩和ケア相談</t>
  </si>
  <si>
    <t>832</t>
  </si>
  <si>
    <t>緩和医療</t>
  </si>
  <si>
    <t>833</t>
  </si>
  <si>
    <t>地域包括緩和ケア</t>
  </si>
  <si>
    <t>851</t>
  </si>
  <si>
    <t>ゲノム診療部</t>
  </si>
  <si>
    <t>861</t>
  </si>
  <si>
    <t>顎口腔外科</t>
  </si>
  <si>
    <t>862</t>
  </si>
  <si>
    <t>顎顔面再建科</t>
  </si>
  <si>
    <t>863</t>
  </si>
  <si>
    <t>顎機能科</t>
  </si>
  <si>
    <t>864</t>
  </si>
  <si>
    <t>顎検査科</t>
  </si>
  <si>
    <t>865</t>
  </si>
  <si>
    <t>顎歯科</t>
  </si>
  <si>
    <t>866</t>
  </si>
  <si>
    <t>顔面口腔外科</t>
  </si>
  <si>
    <t>867</t>
  </si>
  <si>
    <t>顔面外科</t>
  </si>
  <si>
    <t>86A</t>
  </si>
  <si>
    <t>口腔診療科</t>
  </si>
  <si>
    <t>86D</t>
  </si>
  <si>
    <t>口腔総合診療科</t>
  </si>
  <si>
    <t>86E</t>
  </si>
  <si>
    <t>口腔画像診断科</t>
  </si>
  <si>
    <t>86F</t>
  </si>
  <si>
    <t>口腔機能回復科</t>
  </si>
  <si>
    <t>86G</t>
  </si>
  <si>
    <t>口腔診断科</t>
  </si>
  <si>
    <t>86H</t>
  </si>
  <si>
    <t>口腔言語科</t>
  </si>
  <si>
    <t>882</t>
  </si>
  <si>
    <t>保健診療部</t>
  </si>
  <si>
    <t>883</t>
  </si>
  <si>
    <t>メディカルフィットネス</t>
  </si>
  <si>
    <t>8D2</t>
  </si>
  <si>
    <t>デイ・サージェリー</t>
  </si>
  <si>
    <t>8E1</t>
  </si>
  <si>
    <t>薬剤情報部</t>
  </si>
  <si>
    <t>8E2</t>
  </si>
  <si>
    <t>臨床薬理内科</t>
  </si>
  <si>
    <t>901</t>
  </si>
  <si>
    <t>歯科顎口腔外科</t>
  </si>
  <si>
    <t>902</t>
  </si>
  <si>
    <t>歯科口腔外科</t>
  </si>
  <si>
    <t>903</t>
  </si>
  <si>
    <t>矯正歯科</t>
  </si>
  <si>
    <t>904</t>
  </si>
  <si>
    <t>歯周科</t>
  </si>
  <si>
    <t>905</t>
  </si>
  <si>
    <t>歯内治療科</t>
  </si>
  <si>
    <t>906</t>
  </si>
  <si>
    <t>小児歯科</t>
  </si>
  <si>
    <t>907</t>
  </si>
  <si>
    <t>障害歯科</t>
  </si>
  <si>
    <t>908</t>
  </si>
  <si>
    <t>クラウン補綴科</t>
  </si>
  <si>
    <t>909</t>
  </si>
  <si>
    <t>特殊歯科</t>
  </si>
  <si>
    <t>90A</t>
  </si>
  <si>
    <t>虫歯科</t>
  </si>
  <si>
    <t>90B</t>
  </si>
  <si>
    <t>医学支援歯科</t>
  </si>
  <si>
    <t>90C</t>
  </si>
  <si>
    <t>全身管理歯科</t>
  </si>
  <si>
    <t>90D</t>
  </si>
  <si>
    <t>総合歯科</t>
  </si>
  <si>
    <t>90E</t>
  </si>
  <si>
    <t>保存修復歯科</t>
  </si>
  <si>
    <t>90F</t>
  </si>
  <si>
    <t>予防歯科</t>
  </si>
  <si>
    <t>90G</t>
  </si>
  <si>
    <t>咬合修復科</t>
  </si>
  <si>
    <t>90H</t>
  </si>
  <si>
    <t>審美歯科</t>
  </si>
  <si>
    <t>90J</t>
  </si>
  <si>
    <t>義歯科</t>
  </si>
  <si>
    <t>90K</t>
  </si>
  <si>
    <t>義歯補綴科</t>
  </si>
  <si>
    <t>90L</t>
  </si>
  <si>
    <t>インプラント歯科</t>
  </si>
  <si>
    <t>90M</t>
  </si>
  <si>
    <t>高齢歯科</t>
  </si>
  <si>
    <t>90N</t>
  </si>
  <si>
    <t>小児咬合障害科</t>
  </si>
  <si>
    <t>90P</t>
  </si>
  <si>
    <t>歯科麻酔科</t>
  </si>
  <si>
    <t>90R</t>
  </si>
  <si>
    <t>歯科X線科</t>
  </si>
  <si>
    <t>90S</t>
  </si>
  <si>
    <t>健康歯科</t>
  </si>
  <si>
    <t>90T</t>
  </si>
  <si>
    <t>歯科予診</t>
  </si>
  <si>
    <t>981</t>
  </si>
  <si>
    <t>病歴部</t>
  </si>
  <si>
    <t>982</t>
  </si>
  <si>
    <t>事務</t>
  </si>
  <si>
    <t>983</t>
  </si>
  <si>
    <t>医療社会福祉部</t>
  </si>
  <si>
    <t>SS-MIX2 標準化ストレージ仕様書 別紙：コード表 P19 2.3 使用者定義コード表 表 53 使用者定義表-#0069 診療部門</t>
    <phoneticPr fontId="1"/>
  </si>
  <si>
    <t>・PatientAddressは１つのPATIEND_IDで複数のレコードを保持する場合があるため、もっとも直近の住所レコードを採用する</t>
    <rPh sb="30" eb="32">
      <t>フクスウ</t>
    </rPh>
    <rPh sb="38" eb="40">
      <t>ホジ</t>
    </rPh>
    <rPh sb="42" eb="44">
      <t>バアイ</t>
    </rPh>
    <rPh sb="54" eb="56">
      <t>チョッキン</t>
    </rPh>
    <rPh sb="57" eb="59">
      <t>ジュウショ</t>
    </rPh>
    <rPh sb="64" eb="66">
      <t>サイヨウ</t>
    </rPh>
    <phoneticPr fontId="1"/>
  </si>
  <si>
    <t>・当テーブルはPatientIdentification、PatientAddress、および郵便番号マスタを連結したデータをもとに生成する</t>
    <rPh sb="1" eb="2">
      <t>トウ</t>
    </rPh>
    <rPh sb="47" eb="51">
      <t>ユウビンバンゴウ</t>
    </rPh>
    <rPh sb="55" eb="57">
      <t>レンケツ</t>
    </rPh>
    <rPh sb="66" eb="68">
      <t>セイセイ</t>
    </rPh>
    <phoneticPr fontId="1"/>
  </si>
  <si>
    <t>・PatientAddressが保持する郵便番号から都道府県番号に変換し、locationと紐づけを行う</t>
    <rPh sb="16" eb="18">
      <t>ホジ</t>
    </rPh>
    <rPh sb="20" eb="24">
      <t>ユウビンバンゴウ</t>
    </rPh>
    <rPh sb="26" eb="30">
      <t>トドウフケン</t>
    </rPh>
    <rPh sb="30" eb="32">
      <t>バンゴウ</t>
    </rPh>
    <rPh sb="33" eb="35">
      <t>ヘンカン</t>
    </rPh>
    <rPh sb="46" eb="47">
      <t>ヒモ</t>
    </rPh>
    <rPh sb="50" eb="51">
      <t>オコナ</t>
    </rPh>
    <phoneticPr fontId="1"/>
  </si>
  <si>
    <t>PATIENT_IDをそのまま登録する</t>
    <rPh sb="15" eb="17">
      <t>トウロク</t>
    </rPh>
    <phoneticPr fontId="1"/>
  </si>
  <si>
    <t>・visit_occurrenceには１外来受診および１入院ごとのレコード作成する。退院イベントがある場合は入院イベントレコードの終了日に反映する。</t>
    <rPh sb="20" eb="22">
      <t>ガイライ</t>
    </rPh>
    <rPh sb="22" eb="24">
      <t>ジュシン</t>
    </rPh>
    <rPh sb="28" eb="30">
      <t>ニュウイン</t>
    </rPh>
    <rPh sb="37" eb="39">
      <t>サクセイ</t>
    </rPh>
    <rPh sb="42" eb="44">
      <t>タイイン</t>
    </rPh>
    <rPh sb="51" eb="53">
      <t>バアイ</t>
    </rPh>
    <rPh sb="54" eb="56">
      <t>ニュウイン</t>
    </rPh>
    <rPh sb="65" eb="68">
      <t>シュウリョウビ</t>
    </rPh>
    <rPh sb="69" eb="71">
      <t>ハンエイ</t>
    </rPh>
    <phoneticPr fontId="26"/>
  </si>
  <si>
    <t>・visit_detailには１転科転棟、および１外出外泊ごとのレコード作成する。外出泊帰院実施イベントがある場合は外出泊レコードの終了日に反映する。</t>
    <rPh sb="16" eb="18">
      <t>テンカ</t>
    </rPh>
    <rPh sb="18" eb="20">
      <t>テントウ</t>
    </rPh>
    <rPh sb="25" eb="27">
      <t>ガイシュツ</t>
    </rPh>
    <rPh sb="27" eb="29">
      <t>ガイハク</t>
    </rPh>
    <rPh sb="36" eb="38">
      <t>サクセイ</t>
    </rPh>
    <rPh sb="41" eb="43">
      <t>ガイシュツ</t>
    </rPh>
    <rPh sb="43" eb="44">
      <t>ハク</t>
    </rPh>
    <rPh sb="44" eb="46">
      <t>キイン</t>
    </rPh>
    <rPh sb="46" eb="48">
      <t>ジッシ</t>
    </rPh>
    <rPh sb="55" eb="57">
      <t>バアイ</t>
    </rPh>
    <rPh sb="58" eb="60">
      <t>ガイシュツ</t>
    </rPh>
    <rPh sb="60" eb="61">
      <t>ハク</t>
    </rPh>
    <rPh sb="66" eb="69">
      <t>シュウリョウビ</t>
    </rPh>
    <rPh sb="70" eb="72">
      <t>ハンエイ</t>
    </rPh>
    <phoneticPr fontId="26"/>
  </si>
  <si>
    <t>・visit_detailに登録される転科転棟、および外出外泊イベントは、visit_occurrenceの入院イベントレコードと関連付ける</t>
    <rPh sb="14" eb="16">
      <t>トウロク</t>
    </rPh>
    <rPh sb="19" eb="21">
      <t>テンカ</t>
    </rPh>
    <rPh sb="21" eb="23">
      <t>テントウ</t>
    </rPh>
    <rPh sb="27" eb="29">
      <t>ガイシュツ</t>
    </rPh>
    <rPh sb="29" eb="31">
      <t>ガイハク</t>
    </rPh>
    <rPh sb="54" eb="56">
      <t>ニュウイン</t>
    </rPh>
    <rPh sb="65" eb="68">
      <t>カンレンヅ</t>
    </rPh>
    <phoneticPr fontId="26"/>
  </si>
  <si>
    <t>・provider_idには診療科コードに相当する情報を保存し、対象診療科を識別可能とする。</t>
    <rPh sb="14" eb="17">
      <t>シンリョウカ</t>
    </rPh>
    <rPh sb="21" eb="23">
      <t>ソウトウ</t>
    </rPh>
    <rPh sb="25" eb="27">
      <t>ジョウホウ</t>
    </rPh>
    <rPh sb="28" eb="30">
      <t>ホゾン</t>
    </rPh>
    <rPh sb="32" eb="34">
      <t>タイショウ</t>
    </rPh>
    <rPh sb="34" eb="37">
      <t>シンリョウカ</t>
    </rPh>
    <rPh sb="38" eb="40">
      <t>シキベツ</t>
    </rPh>
    <rPh sb="40" eb="42">
      <t>カノウ</t>
    </rPh>
    <phoneticPr fontId="26"/>
  </si>
  <si>
    <t>・当テーブルはPatientVisitテーブルから生成する</t>
    <rPh sb="1" eb="2">
      <t>トウ</t>
    </rPh>
    <rPh sb="25" eb="27">
      <t>セイセイ</t>
    </rPh>
    <phoneticPr fontId="26"/>
  </si>
  <si>
    <t>・PatientVisitの外来受診、入院実施、退院実施以外のレコード（外出泊、転科転棟）はvisit_detailに登録する</t>
    <rPh sb="14" eb="18">
      <t>ガイライジュシン</t>
    </rPh>
    <rPh sb="19" eb="23">
      <t>ニュウインジッシ</t>
    </rPh>
    <rPh sb="24" eb="28">
      <t>タイインジッシ</t>
    </rPh>
    <rPh sb="28" eb="30">
      <t>イガイ</t>
    </rPh>
    <rPh sb="36" eb="39">
      <t>ガイシュツハク</t>
    </rPh>
    <rPh sb="40" eb="42">
      <t>テンカ</t>
    </rPh>
    <rPh sb="42" eb="44">
      <t>テントウ</t>
    </rPh>
    <rPh sb="59" eb="61">
      <t>トウロク</t>
    </rPh>
    <phoneticPr fontId="1"/>
  </si>
  <si>
    <t>・PatientVisitに退院実施レコード以前の入院実施レコードが存在しない場合、その入退院イベントレコードは生成しない</t>
    <rPh sb="14" eb="18">
      <t>タイインジッシ</t>
    </rPh>
    <rPh sb="22" eb="24">
      <t>イゼン</t>
    </rPh>
    <rPh sb="25" eb="29">
      <t>ニュウインジッシ</t>
    </rPh>
    <rPh sb="34" eb="36">
      <t>ソンザイ</t>
    </rPh>
    <rPh sb="39" eb="41">
      <t>バアイ</t>
    </rPh>
    <rPh sb="44" eb="47">
      <t>ニュウタイイン</t>
    </rPh>
    <rPh sb="56" eb="58">
      <t>セイセイ</t>
    </rPh>
    <phoneticPr fontId="1"/>
  </si>
  <si>
    <t>・PatientVisitに退院実施レコードの退院先コードが「死亡」の場合、退院日を死亡日としてレコードを生成する</t>
    <rPh sb="14" eb="18">
      <t>タイインジッシ</t>
    </rPh>
    <rPh sb="23" eb="25">
      <t>タイイン</t>
    </rPh>
    <rPh sb="25" eb="26">
      <t>サキ</t>
    </rPh>
    <rPh sb="31" eb="33">
      <t>シボウ</t>
    </rPh>
    <rPh sb="35" eb="37">
      <t>バアイ</t>
    </rPh>
    <rPh sb="38" eb="41">
      <t>タイインビ</t>
    </rPh>
    <rPh sb="42" eb="45">
      <t>シボウビ</t>
    </rPh>
    <rPh sb="53" eb="55">
      <t>セイセイ</t>
    </rPh>
    <phoneticPr fontId="1"/>
  </si>
  <si>
    <t>・concept変換元のソースコードは病名管理番号とし、MEDIS病名マスタとATHENA Vocabularyを介したstandard conceptへの変換を行う。</t>
    <rPh sb="8" eb="10">
      <t>ヘンカン</t>
    </rPh>
    <rPh sb="10" eb="11">
      <t>モト</t>
    </rPh>
    <rPh sb="19" eb="25">
      <t>ビョウメイカンリバンゴウ</t>
    </rPh>
    <rPh sb="33" eb="35">
      <t>ビョウメイ</t>
    </rPh>
    <rPh sb="57" eb="58">
      <t>カイ</t>
    </rPh>
    <rPh sb="78" eb="80">
      <t>ヘンカン</t>
    </rPh>
    <rPh sb="81" eb="82">
      <t>オコナ</t>
    </rPh>
    <phoneticPr fontId="26"/>
  </si>
  <si>
    <t>・当テーブルは主にPatientDiseaseから作成する</t>
    <rPh sb="1" eb="2">
      <t>トウ</t>
    </rPh>
    <rPh sb="7" eb="8">
      <t>オモ</t>
    </rPh>
    <rPh sb="25" eb="27">
      <t>サクセイ</t>
    </rPh>
    <phoneticPr fontId="26"/>
  </si>
  <si>
    <t>・変換後のconceptのdomainによってはPatientDisease以外のテーブルからも生成される（ObservationResultなど）</t>
    <rPh sb="38" eb="40">
      <t>イガイ</t>
    </rPh>
    <rPh sb="48" eb="50">
      <t>セイセイ</t>
    </rPh>
    <phoneticPr fontId="26"/>
  </si>
  <si>
    <t>・当テーブルは主にPrescriptionDataとInjectionDataから作成する</t>
    <rPh sb="1" eb="2">
      <t>トウ</t>
    </rPh>
    <rPh sb="7" eb="8">
      <t>オモ</t>
    </rPh>
    <rPh sb="41" eb="43">
      <t>サクセイ</t>
    </rPh>
    <phoneticPr fontId="26"/>
  </si>
  <si>
    <t>・concept変換元のソースコードはYJコードとし、臨中ネット様が作成予定のマッピングテーブルを介したstandard conceptへの変換を行う。</t>
    <rPh sb="8" eb="10">
      <t>ヘンカン</t>
    </rPh>
    <rPh sb="10" eb="11">
      <t>モト</t>
    </rPh>
    <rPh sb="27" eb="29">
      <t>リンチュウ</t>
    </rPh>
    <rPh sb="32" eb="33">
      <t>サマ</t>
    </rPh>
    <rPh sb="34" eb="36">
      <t>サクセイ</t>
    </rPh>
    <rPh sb="36" eb="38">
      <t>ヨテイ</t>
    </rPh>
    <rPh sb="49" eb="50">
      <t>カイ</t>
    </rPh>
    <rPh sb="70" eb="72">
      <t>ヘンカン</t>
    </rPh>
    <rPh sb="73" eb="74">
      <t>オコナ</t>
    </rPh>
    <phoneticPr fontId="26"/>
  </si>
  <si>
    <t>・処方データに基づくquantity, unitには「与薬量」「調剤量」「1 日あたりの総投与量」から「調剤量」にかかる項目を登録する</t>
    <rPh sb="1" eb="3">
      <t>ショホウ</t>
    </rPh>
    <rPh sb="7" eb="8">
      <t>モト</t>
    </rPh>
    <rPh sb="32" eb="34">
      <t>チョウザイ</t>
    </rPh>
    <rPh sb="34" eb="35">
      <t>リョウ</t>
    </rPh>
    <rPh sb="52" eb="54">
      <t>チョウザイ</t>
    </rPh>
    <rPh sb="54" eb="55">
      <t>リョウ</t>
    </rPh>
    <rPh sb="60" eb="62">
      <t>コウモク</t>
    </rPh>
    <rPh sb="63" eb="65">
      <t>トウロク</t>
    </rPh>
    <phoneticPr fontId="26"/>
  </si>
  <si>
    <t>・concept変換元のソースコードは標準検査項目コードとし、臨中ネット様が作成予定のマッピングテーブルを介したstandard conceptへの変換を行う。</t>
    <rPh sb="8" eb="10">
      <t>ヘンカン</t>
    </rPh>
    <rPh sb="10" eb="11">
      <t>モト</t>
    </rPh>
    <rPh sb="19" eb="21">
      <t>ヒョウジュン</t>
    </rPh>
    <rPh sb="21" eb="23">
      <t>ケンサ</t>
    </rPh>
    <rPh sb="23" eb="25">
      <t>コウモク</t>
    </rPh>
    <rPh sb="31" eb="33">
      <t>リンチュウ</t>
    </rPh>
    <rPh sb="36" eb="37">
      <t>サマ</t>
    </rPh>
    <rPh sb="38" eb="40">
      <t>サクセイ</t>
    </rPh>
    <rPh sb="40" eb="42">
      <t>ヨテイ</t>
    </rPh>
    <rPh sb="53" eb="54">
      <t>カイ</t>
    </rPh>
    <rPh sb="74" eb="76">
      <t>ヘンカン</t>
    </rPh>
    <rPh sb="77" eb="78">
      <t>オコナ</t>
    </rPh>
    <phoneticPr fontId="26"/>
  </si>
  <si>
    <t>・当テーブルは主にObservationResultから作成する</t>
    <rPh sb="1" eb="2">
      <t>トウ</t>
    </rPh>
    <rPh sb="7" eb="8">
      <t>オモ</t>
    </rPh>
    <rPh sb="28" eb="30">
      <t>サクセイ</t>
    </rPh>
    <phoneticPr fontId="26"/>
  </si>
  <si>
    <t>・specimenは同一患者、同一採取日時、同一材料コードで１レコードになるよう集約を行う</t>
    <rPh sb="10" eb="12">
      <t>ドウイツ</t>
    </rPh>
    <rPh sb="12" eb="14">
      <t>カンジャ</t>
    </rPh>
    <rPh sb="15" eb="17">
      <t>ドウイツ</t>
    </rPh>
    <rPh sb="17" eb="21">
      <t>サイシュニチジ</t>
    </rPh>
    <rPh sb="22" eb="24">
      <t>ドウイツ</t>
    </rPh>
    <rPh sb="24" eb="26">
      <t>ザイリョウ</t>
    </rPh>
    <rPh sb="40" eb="42">
      <t>シュウヤク</t>
    </rPh>
    <rPh sb="43" eb="44">
      <t>オコナ</t>
    </rPh>
    <phoneticPr fontId="26"/>
  </si>
  <si>
    <t>・concept変換元のソースコードは標準材料コードとし、臨中ネット様が作成予定のマッピングテーブルを介したstandard conceptへの変換を行う。</t>
    <rPh sb="8" eb="10">
      <t>ヘンカン</t>
    </rPh>
    <rPh sb="10" eb="11">
      <t>モト</t>
    </rPh>
    <rPh sb="19" eb="21">
      <t>ヒョウジュン</t>
    </rPh>
    <rPh sb="21" eb="23">
      <t>ザイリョウ</t>
    </rPh>
    <rPh sb="29" eb="31">
      <t>リンチュウ</t>
    </rPh>
    <rPh sb="34" eb="35">
      <t>サマ</t>
    </rPh>
    <rPh sb="36" eb="38">
      <t>サクセイ</t>
    </rPh>
    <rPh sb="38" eb="40">
      <t>ヨテイ</t>
    </rPh>
    <rPh sb="51" eb="52">
      <t>カイ</t>
    </rPh>
    <rPh sb="72" eb="74">
      <t>ヘンカン</t>
    </rPh>
    <rPh sb="75" eb="76">
      <t>オコナ</t>
    </rPh>
    <phoneticPr fontId="26"/>
  </si>
  <si>
    <t>Hospital</t>
  </si>
  <si>
    <t>Oncology Cllinic/Center</t>
  </si>
  <si>
    <t>Oncology Cllinic/Center</t>
    <phoneticPr fontId="1"/>
  </si>
  <si>
    <t>01-1-8010016:北海道大学病院</t>
    <phoneticPr fontId="1"/>
  </si>
  <si>
    <t>04-1-8010146:東北大学病院</t>
    <phoneticPr fontId="1"/>
  </si>
  <si>
    <t>東京大学医学部附属病院</t>
    <phoneticPr fontId="1"/>
  </si>
  <si>
    <t>13-1-8814790:東京大学医学部附属病院</t>
    <phoneticPr fontId="1"/>
  </si>
  <si>
    <t>国立がん研究センター中央病院</t>
    <phoneticPr fontId="1"/>
  </si>
  <si>
    <t>13-1-8616104:国立がん研究センター中央病院</t>
    <phoneticPr fontId="1"/>
  </si>
  <si>
    <t>13-1-0514836:順天堂大学医学部附属順天堂医院</t>
    <phoneticPr fontId="1"/>
  </si>
  <si>
    <t>13-1-0415067:慶應義塾大学病院　</t>
    <phoneticPr fontId="1"/>
  </si>
  <si>
    <t>0514836</t>
    <phoneticPr fontId="1"/>
  </si>
  <si>
    <t>0415067</t>
    <phoneticPr fontId="1"/>
  </si>
  <si>
    <r>
      <t xml:space="preserve">OBX_VALUE_L
</t>
    </r>
    <r>
      <rPr>
        <sz val="11"/>
        <color rgb="FFFF0000"/>
        <rFont val="游ゴシック"/>
        <family val="3"/>
        <charset val="128"/>
        <scheme val="minor"/>
      </rPr>
      <t>(ただしvalue_concept_idに変換する可能性のある値だけを抽出して登録する。例：&gt;0.5(+)の場合は&gt;と0.5を除去して(+)だけ　など）</t>
    </r>
    <rPh sb="33" eb="35">
      <t>ヘンカン</t>
    </rPh>
    <rPh sb="37" eb="40">
      <t>カノウセイ</t>
    </rPh>
    <rPh sb="43" eb="44">
      <t>アタイ</t>
    </rPh>
    <rPh sb="47" eb="49">
      <t>チュウシュツ</t>
    </rPh>
    <rPh sb="51" eb="53">
      <t>トウロク</t>
    </rPh>
    <rPh sb="56" eb="57">
      <t>レイ</t>
    </rPh>
    <rPh sb="66" eb="68">
      <t>バアイ</t>
    </rPh>
    <rPh sb="75" eb="77">
      <t>ジョキョ</t>
    </rPh>
    <phoneticPr fontId="1"/>
  </si>
  <si>
    <t>OBX_VALUE_L</t>
    <phoneticPr fontId="1"/>
  </si>
  <si>
    <t>PatientVisit.
PV_EVENT_OCCURED_DATE</t>
    <phoneticPr fontId="1"/>
  </si>
  <si>
    <t>転科・転棟実施、外出泊実施ともにPV_EVENT_OCCURED_DATE</t>
    <phoneticPr fontId="1"/>
  </si>
  <si>
    <t>転科・転棟実施、外出泊実施ともにPV_EVENT_OCCURED_DATE+PV_EVENT_OCCURED_TIME</t>
    <phoneticPr fontId="1"/>
  </si>
  <si>
    <t>PatientVisit.
PV_EVENT_OCCURED_DATE+PV_EVENT_OCCURED_TIME</t>
    <phoneticPr fontId="1"/>
  </si>
  <si>
    <t>ADTセグメント識別子ごとに採用する値を選択する
転科・転棟実施：ADT^A02^ADT_A02：PV_EVENT_OCCURED_DATE
外出泊実施：ADT^A21^ADT_A21：外出泊実施日以降直近の外出泊帰院レコードのPV_EVENT_OCCURED_DATE</t>
    <rPh sb="8" eb="10">
      <t>シキベツ</t>
    </rPh>
    <rPh sb="14" eb="16">
      <t>サイヨウ</t>
    </rPh>
    <rPh sb="18" eb="19">
      <t>アタイ</t>
    </rPh>
    <rPh sb="20" eb="22">
      <t>センタク</t>
    </rPh>
    <rPh sb="96" eb="99">
      <t>ジッシビ</t>
    </rPh>
    <rPh sb="99" eb="101">
      <t>イコウ</t>
    </rPh>
    <rPh sb="101" eb="103">
      <t>チョッキン</t>
    </rPh>
    <rPh sb="107" eb="108">
      <t>カエ</t>
    </rPh>
    <rPh sb="108" eb="109">
      <t>イン</t>
    </rPh>
    <phoneticPr fontId="1"/>
  </si>
  <si>
    <t>ADTセグメント識別子ごとに採用する値を選択する
転科・転棟実施：ADT^A02^ADT_A02：PV_EVENT_OCCURED_DATE+PV_EVENT_OCCURED_TIME
外出泊実施：ADT^A21^ADT_A21：外出泊実施日以降直近の外出泊帰院レコードのPV_EVENT_OCCURED_DATE+PV_EVENT_OCCURED_TIME</t>
    <rPh sb="8" eb="10">
      <t>シキベツ</t>
    </rPh>
    <rPh sb="14" eb="16">
      <t>サイヨウ</t>
    </rPh>
    <rPh sb="18" eb="19">
      <t>アタイ</t>
    </rPh>
    <rPh sb="20" eb="22">
      <t>センタク</t>
    </rPh>
    <rPh sb="118" eb="121">
      <t>ジッシビ</t>
    </rPh>
    <rPh sb="121" eb="123">
      <t>イコウ</t>
    </rPh>
    <rPh sb="123" eb="125">
      <t>チョッキン</t>
    </rPh>
    <rPh sb="129" eb="130">
      <t>カエ</t>
    </rPh>
    <rPh sb="130" eb="131">
      <t>イン</t>
    </rPh>
    <phoneticPr fontId="1"/>
  </si>
  <si>
    <t>元カラム名の誤記修正(PV_EVENT_DATE-&gt;PV_EVENT_OCCURRED_DATE)</t>
    <rPh sb="0" eb="1">
      <t>モト</t>
    </rPh>
    <rPh sb="4" eb="5">
      <t>メイ</t>
    </rPh>
    <rPh sb="6" eb="10">
      <t>ゴキシュウセイ</t>
    </rPh>
    <phoneticPr fontId="1"/>
  </si>
  <si>
    <t>YJコード|HOTコード|薬剤名称の形式に編集して判読可能な値として登録する</t>
    <rPh sb="13" eb="15">
      <t>ヤクザイ</t>
    </rPh>
    <rPh sb="15" eb="17">
      <t>メイショウ</t>
    </rPh>
    <rPh sb="18" eb="20">
      <t>ケイシキ</t>
    </rPh>
    <phoneticPr fontId="1"/>
  </si>
  <si>
    <t>Prescription Data.
PRES_MEDICINE_CD_YJ+PRES_MEDICINE_CD_HOT+PRES_MEDICINE_NAME_L</t>
    <phoneticPr fontId="1"/>
  </si>
  <si>
    <t>Injection Data.
INJ_MEDICINE_CD_YJ+INJ_MEDICINE_CD_HOT+INJ_MEDICINE_NAME_L</t>
    <phoneticPr fontId="1"/>
  </si>
  <si>
    <t>drug_source_valueの編集仕様の誤記修正(YJコード記述不足)</t>
    <rPh sb="18" eb="20">
      <t>ヘンシュウ</t>
    </rPh>
    <rPh sb="20" eb="22">
      <t>シヨウ</t>
    </rPh>
    <rPh sb="23" eb="27">
      <t>ゴキシュウセイ</t>
    </rPh>
    <rPh sb="33" eb="35">
      <t>キジュツ</t>
    </rPh>
    <rPh sb="35" eb="37">
      <t>フソク</t>
    </rPh>
    <phoneticPr fontId="1"/>
  </si>
  <si>
    <t>Prescription Data.PRES_DISPENSE_UNIT_CD_S+
PRES_DISPENSE_UNIT_NAME_L</t>
    <phoneticPr fontId="1"/>
  </si>
  <si>
    <t>dose_unit_source_valueの編集仕様の誤記修正(PRES_DISPENSE_UNIT_CD_S)</t>
    <rPh sb="23" eb="27">
      <t>ヘンシュウシヨウ</t>
    </rPh>
    <rPh sb="28" eb="30">
      <t>ゴキ</t>
    </rPh>
    <rPh sb="30" eb="32">
      <t>シュウセイ</t>
    </rPh>
    <phoneticPr fontId="1"/>
  </si>
  <si>
    <t xml:space="preserve">Injection Data.
SCH_INJ_END_DATE or　SCH_INJ_START_DATE  </t>
    <phoneticPr fontId="1"/>
  </si>
  <si>
    <t>投薬終了日を登録する。投薬終了日がない場合は投薬開始日を登録する</t>
    <rPh sb="0" eb="2">
      <t>トウヤク</t>
    </rPh>
    <rPh sb="2" eb="5">
      <t>シュウリョウビ</t>
    </rPh>
    <rPh sb="6" eb="8">
      <t>トウロク</t>
    </rPh>
    <rPh sb="11" eb="13">
      <t>トウヤク</t>
    </rPh>
    <rPh sb="13" eb="16">
      <t>シュウリョウビ</t>
    </rPh>
    <rPh sb="19" eb="21">
      <t>バアイ</t>
    </rPh>
    <rPh sb="22" eb="24">
      <t>トウヤク</t>
    </rPh>
    <rPh sb="24" eb="27">
      <t>カイシビ</t>
    </rPh>
    <rPh sb="28" eb="30">
      <t>トウロク</t>
    </rPh>
    <phoneticPr fontId="1"/>
  </si>
  <si>
    <t>drug_exposure_end_date、drug_exposure_end_datetimeの編集仕様の誤記修正</t>
    <rPh sb="50" eb="52">
      <t>ヘンシュウ</t>
    </rPh>
    <rPh sb="52" eb="54">
      <t>シヨウ</t>
    </rPh>
    <rPh sb="55" eb="59">
      <t>ゴキシュウセイ</t>
    </rPh>
    <phoneticPr fontId="1"/>
  </si>
  <si>
    <t>DRUG_EXPOSURE(inject)</t>
    <phoneticPr fontId="1"/>
  </si>
  <si>
    <t>DRUG_EXPOSURE(prescription)</t>
    <phoneticPr fontId="1"/>
  </si>
  <si>
    <t>Observation Result.
SCH_OBX_VALUE_S,
OBX_VALUE_L</t>
    <phoneticPr fontId="1"/>
  </si>
  <si>
    <t>検査結果値に含まれる等符号を抽出し、source_to_concept_mapを介してStandard Vocabularyに変換する</t>
    <rPh sb="0" eb="2">
      <t>ケンサ</t>
    </rPh>
    <rPh sb="2" eb="4">
      <t>ケッカ</t>
    </rPh>
    <rPh sb="4" eb="5">
      <t>アタイ</t>
    </rPh>
    <rPh sb="6" eb="7">
      <t>フク</t>
    </rPh>
    <rPh sb="10" eb="11">
      <t>トウ</t>
    </rPh>
    <rPh sb="11" eb="13">
      <t>フゴウ</t>
    </rPh>
    <rPh sb="14" eb="16">
      <t>チュウシュツ</t>
    </rPh>
    <phoneticPr fontId="1"/>
  </si>
  <si>
    <t>標準単位換算値（数値型）をそのまま登録する。
標準単位換算値（数値型）に値がない場合は、検査結果値に含まれる等符号を除去した数値を抽出して登録する。</t>
    <rPh sb="0" eb="2">
      <t>ヒョウジュン</t>
    </rPh>
    <rPh sb="2" eb="4">
      <t>タンイ</t>
    </rPh>
    <rPh sb="4" eb="6">
      <t>カンサン</t>
    </rPh>
    <rPh sb="6" eb="7">
      <t>アタイ</t>
    </rPh>
    <rPh sb="8" eb="11">
      <t>スウチガタ</t>
    </rPh>
    <rPh sb="36" eb="37">
      <t>アタイ</t>
    </rPh>
    <rPh sb="40" eb="42">
      <t>バアイ</t>
    </rPh>
    <rPh sb="44" eb="46">
      <t>ケンサ</t>
    </rPh>
    <rPh sb="46" eb="48">
      <t>ケッカ</t>
    </rPh>
    <rPh sb="48" eb="49">
      <t>アタイ</t>
    </rPh>
    <rPh sb="50" eb="51">
      <t>フク</t>
    </rPh>
    <rPh sb="58" eb="60">
      <t>ジョキョ</t>
    </rPh>
    <rPh sb="62" eb="64">
      <t>スウチ</t>
    </rPh>
    <rPh sb="65" eb="67">
      <t>チュウシュツ</t>
    </rPh>
    <rPh sb="69" eb="71">
      <t>トウロク</t>
    </rPh>
    <phoneticPr fontId="1"/>
  </si>
  <si>
    <t>specimen_slource_valueの編集仕様の修正</t>
    <rPh sb="23" eb="27">
      <t>ヘンシュウシヨウ</t>
    </rPh>
    <rPh sb="28" eb="30">
      <t>シュウセイ</t>
    </rPh>
    <phoneticPr fontId="1"/>
  </si>
  <si>
    <t>value_as_numberの編集仕様の修正</t>
    <rPh sb="16" eb="18">
      <t>ヘンシュウ</t>
    </rPh>
    <rPh sb="18" eb="20">
      <t>シヨウ</t>
    </rPh>
    <rPh sb="21" eb="23">
      <t>シュウセイ</t>
    </rPh>
    <phoneticPr fontId="1"/>
  </si>
  <si>
    <t>臨中標準材料コード臨中標準材料名称の形式に編集して判読可能な値として登録する</t>
    <phoneticPr fontId="1"/>
  </si>
  <si>
    <t>Observation Result.
SPM_CD_S+SPM_NAME_S</t>
    <phoneticPr fontId="1"/>
  </si>
  <si>
    <r>
      <rPr>
        <b/>
        <sz val="11"/>
        <color theme="1"/>
        <rFont val="游ゴシック"/>
        <family val="3"/>
        <charset val="128"/>
        <scheme val="minor"/>
      </rPr>
      <t>Athena Standard Vocablary</t>
    </r>
    <r>
      <rPr>
        <sz val="11"/>
        <color theme="1"/>
        <rFont val="游ゴシック"/>
        <family val="2"/>
        <charset val="128"/>
        <scheme val="minor"/>
      </rPr>
      <t>を投入</t>
    </r>
    <rPh sb="26" eb="28">
      <t>トウニュウ</t>
    </rPh>
    <phoneticPr fontId="1"/>
  </si>
  <si>
    <t>vocabulary</t>
    <phoneticPr fontId="1"/>
  </si>
  <si>
    <t>臨中DB説明用データを作成し投入</t>
  </si>
  <si>
    <t>臨中DB説明用データを作成し投入</t>
    <rPh sb="0" eb="2">
      <t>リンチュウ</t>
    </rPh>
    <rPh sb="4" eb="7">
      <t>セツメイヨウ</t>
    </rPh>
    <rPh sb="11" eb="13">
      <t>サクセイ</t>
    </rPh>
    <rPh sb="14" eb="16">
      <t>トウニュウ</t>
    </rPh>
    <phoneticPr fontId="1"/>
  </si>
  <si>
    <t>ATHENA</t>
  </si>
  <si>
    <t>ATHENA</t>
    <phoneticPr fontId="1"/>
  </si>
  <si>
    <t>Patient Disease.
DIS_OUTCOME_CD or DIS_END_DATE</t>
    <phoneticPr fontId="1"/>
  </si>
  <si>
    <t>転帰日があれば転帰日をセット、なければ病名終了日を登録する</t>
    <rPh sb="7" eb="10">
      <t>テンキビ</t>
    </rPh>
    <rPh sb="19" eb="21">
      <t>ビョウメイ</t>
    </rPh>
    <rPh sb="21" eb="24">
      <t>シュウリョウビ</t>
    </rPh>
    <rPh sb="25" eb="27">
      <t>トウロク</t>
    </rPh>
    <phoneticPr fontId="1"/>
  </si>
  <si>
    <t>転帰区分をそのまま登録する</t>
    <rPh sb="0" eb="4">
      <t>テンキクブン</t>
    </rPh>
    <phoneticPr fontId="1"/>
  </si>
  <si>
    <r>
      <t>Source_to_concept_map:
VocabID:</t>
    </r>
    <r>
      <rPr>
        <b/>
        <sz val="10"/>
        <rFont val="游ゴシック"/>
        <family val="3"/>
        <charset val="128"/>
        <scheme val="minor"/>
      </rPr>
      <t>RINCHU_DRUG_UNIT</t>
    </r>
    <r>
      <rPr>
        <sz val="10"/>
        <rFont val="游ゴシック"/>
        <family val="3"/>
        <charset val="128"/>
        <scheme val="minor"/>
      </rPr>
      <t xml:space="preserve">
DomainID:</t>
    </r>
    <r>
      <rPr>
        <b/>
        <sz val="10"/>
        <rFont val="游ゴシック"/>
        <family val="3"/>
        <charset val="128"/>
        <scheme val="minor"/>
      </rPr>
      <t>Unit</t>
    </r>
    <phoneticPr fontId="26"/>
  </si>
  <si>
    <t>https://athena.ohdsi.org/search-terms/terms?domain=Unit&amp;standardConcept=Standard&amp;page=1&amp;pageSize=15&amp;query=</t>
    <phoneticPr fontId="1"/>
  </si>
  <si>
    <t>https://athena.ohdsi.org/search-terms/terms?domain=Route&amp;standardConcept=Standard&amp;page=1&amp;pageSize=15&amp;query=</t>
    <phoneticPr fontId="1"/>
  </si>
  <si>
    <t>https://athena.ohdsi.org/search-terms/terms?domain=Meas+Value&amp;standardConcept=Standard&amp;page=1&amp;pageSize=15&amp;query=</t>
    <phoneticPr fontId="1"/>
  </si>
  <si>
    <r>
      <t>specimen_concept_idに変換
Source_to_concept_map:
VocabID:</t>
    </r>
    <r>
      <rPr>
        <b/>
        <sz val="10"/>
        <rFont val="游ゴシック"/>
        <family val="3"/>
        <charset val="128"/>
        <scheme val="minor"/>
      </rPr>
      <t>RINCHU_SPM_CD</t>
    </r>
    <r>
      <rPr>
        <sz val="10"/>
        <rFont val="游ゴシック"/>
        <family val="3"/>
        <charset val="128"/>
        <scheme val="minor"/>
      </rPr>
      <t xml:space="preserve">
DomainID:</t>
    </r>
    <r>
      <rPr>
        <b/>
        <sz val="10"/>
        <rFont val="游ゴシック"/>
        <family val="3"/>
        <charset val="128"/>
        <scheme val="minor"/>
      </rPr>
      <t>Specimen</t>
    </r>
    <rPh sb="20" eb="22">
      <t>ヘンカン</t>
    </rPh>
    <phoneticPr fontId="26"/>
  </si>
  <si>
    <t>https://athena.ohdsi.org/search-terms/terms?domain=Specimen&amp;standardConcept=Standard&amp;page=1&amp;pageSize=15&amp;query=</t>
    <phoneticPr fontId="1"/>
  </si>
  <si>
    <t>https://athena.ohdsi.org/search-terms/terms?domain=Drug&amp;standardConcept=Standard&amp;page=1&amp;pageSize=15&amp;query=</t>
    <phoneticPr fontId="1"/>
  </si>
  <si>
    <t>https://athena.ohdsi.org/search-terms/terms?domain=Condition&amp;vocabulary=ICD10&amp;page=1&amp;pageSize=15&amp;query=</t>
    <phoneticPr fontId="1"/>
  </si>
  <si>
    <t>ソースコードを病名管理番号からICD10に変更</t>
    <rPh sb="7" eb="9">
      <t>ビョウメイ</t>
    </rPh>
    <rPh sb="9" eb="11">
      <t>カンリ</t>
    </rPh>
    <rPh sb="11" eb="13">
      <t>バンゴウ</t>
    </rPh>
    <rPh sb="21" eb="23">
      <t>ヘンコウ</t>
    </rPh>
    <phoneticPr fontId="1"/>
  </si>
  <si>
    <t>・ICD10をAthenaのconceptを介してconcept_idに変換する
（ICD10 to concept id変換のためのsource_to_concept_mapを作成してSQLのパフォーマンスを考慮する。）
・ATHENAから生成したマッピングで対応できない病名コードは個別マッピングを行う
・個別マッピングがあればそれを優先使用し、なければ自動マッピング生成テーブルを使用する</t>
    <rPh sb="22" eb="23">
      <t>カイ</t>
    </rPh>
    <rPh sb="36" eb="38">
      <t>ヘンカン</t>
    </rPh>
    <rPh sb="51" eb="53">
      <t>ヘンカン</t>
    </rPh>
    <rPh sb="79" eb="81">
      <t>サクセイ</t>
    </rPh>
    <rPh sb="95" eb="97">
      <t>コウリョ</t>
    </rPh>
    <phoneticPr fontId="1"/>
  </si>
  <si>
    <t>CD10コード|病名管理番号|病名表記の形式に編集して判読可能な値として登録する</t>
    <rPh sb="8" eb="14">
      <t>ビョウメイカンリバンゴウ</t>
    </rPh>
    <rPh sb="15" eb="19">
      <t>ビョウメイヒョウキ</t>
    </rPh>
    <rPh sb="20" eb="22">
      <t>ケイシキ</t>
    </rPh>
    <phoneticPr fontId="1"/>
  </si>
  <si>
    <t>・ICD10コードをAthenaのconcept+concept_relationshipを介してStandard Vocabularyに変換する
（ICD10 to Standard concept変換のためのsource_to_concept_mapを作成してSQLのパフォーマンスを考慮する。）
・ATHENAから生成したマッピングで対応できない病名コードは個別マッピングを行う
・個別マッピングがあればそれを優先使用し、なければ自動マッピング生成テーブルを使用する</t>
    <rPh sb="46" eb="47">
      <t>カイ</t>
    </rPh>
    <rPh sb="69" eb="71">
      <t>ヘンカン</t>
    </rPh>
    <rPh sb="100" eb="102">
      <t>ヘンカン</t>
    </rPh>
    <rPh sb="128" eb="130">
      <t>サクセイ</t>
    </rPh>
    <rPh sb="144" eb="146">
      <t>コウリョ</t>
    </rPh>
    <rPh sb="160" eb="162">
      <t>セイセイ</t>
    </rPh>
    <rPh sb="170" eb="172">
      <t>タイオウ</t>
    </rPh>
    <rPh sb="176" eb="178">
      <t>ビョウメイ</t>
    </rPh>
    <rPh sb="182" eb="184">
      <t>コベツ</t>
    </rPh>
    <rPh sb="190" eb="191">
      <t>オコナ</t>
    </rPh>
    <rPh sb="194" eb="196">
      <t>コベツ</t>
    </rPh>
    <rPh sb="208" eb="210">
      <t>ユウセン</t>
    </rPh>
    <rPh sb="210" eb="212">
      <t>シヨウ</t>
    </rPh>
    <rPh sb="218" eb="220">
      <t>ジドウ</t>
    </rPh>
    <rPh sb="225" eb="227">
      <t>セイセイ</t>
    </rPh>
    <rPh sb="232" eb="234">
      <t>シヨウ</t>
    </rPh>
    <phoneticPr fontId="1"/>
  </si>
  <si>
    <t>ICD10_CD</t>
    <phoneticPr fontId="1"/>
  </si>
  <si>
    <r>
      <t>Source_to_concept_map:
VocabID:</t>
    </r>
    <r>
      <rPr>
        <b/>
        <sz val="10"/>
        <rFont val="游ゴシック"/>
        <family val="3"/>
        <charset val="128"/>
        <scheme val="minor"/>
      </rPr>
      <t>RINCHU_DIAGCD, ATHENA_ICD10</t>
    </r>
    <r>
      <rPr>
        <sz val="10"/>
        <rFont val="游ゴシック"/>
        <family val="3"/>
        <charset val="128"/>
        <scheme val="minor"/>
      </rPr>
      <t xml:space="preserve">
DomainID:</t>
    </r>
    <r>
      <rPr>
        <b/>
        <sz val="10"/>
        <rFont val="游ゴシック"/>
        <family val="3"/>
        <charset val="128"/>
        <scheme val="minor"/>
      </rPr>
      <t>Condition</t>
    </r>
    <phoneticPr fontId="26"/>
  </si>
  <si>
    <t>"ATHENA_ICD10"</t>
    <phoneticPr fontId="1"/>
  </si>
  <si>
    <t>ICD10_CD|DIS_MANAGEMENT_CD|DIS_NAME</t>
    <phoneticPr fontId="1"/>
  </si>
  <si>
    <t>"ATHENA_ICD10_VALUE"</t>
    <phoneticPr fontId="1"/>
  </si>
  <si>
    <t>"RINCHU_DIAGICD"</t>
    <phoneticPr fontId="1"/>
  </si>
  <si>
    <t>icd10_cd"</t>
    <phoneticPr fontId="1"/>
  </si>
  <si>
    <t>obx_cd_s"</t>
    <phoneticPr fontId="1"/>
  </si>
  <si>
    <t>spm_cd_s"</t>
    <phoneticPr fontId="1"/>
  </si>
  <si>
    <t>"pres_medicine_cd_yj"</t>
    <phoneticPr fontId="1"/>
  </si>
  <si>
    <t>"inj_medicine_cd_yj"</t>
    <phoneticPr fontId="1"/>
  </si>
  <si>
    <t>InjectionData"</t>
    <phoneticPr fontId="1"/>
  </si>
  <si>
    <t>inj_unique_id</t>
    <phoneticPr fontId="1"/>
  </si>
  <si>
    <t>pres_unique_id</t>
    <phoneticPr fontId="1"/>
  </si>
  <si>
    <r>
      <t xml:space="preserve">ICD10_CD
</t>
    </r>
    <r>
      <rPr>
        <sz val="11"/>
        <color rgb="FFFF0000"/>
        <rFont val="游ゴシック"/>
        <family val="3"/>
        <charset val="128"/>
        <scheme val="minor"/>
      </rPr>
      <t>(ただしMeas Valueに該当する場合だけセットする</t>
    </r>
    <rPh sb="24" eb="26">
      <t>ガイトウ</t>
    </rPh>
    <rPh sb="28" eb="30">
      <t>バアイ</t>
    </rPh>
    <phoneticPr fontId="1"/>
  </si>
  <si>
    <t>OBX_CD_S|OBX_NAME_S|OBX_NAME_L|SPM_CD_S|SPM_NAME_S</t>
    <phoneticPr fontId="1"/>
  </si>
  <si>
    <t>PRES_ADMINISTRATION_CD_S|
PRES_ADMINISTRATION_NAME_S|
PRES_ADMINISTRATION_NAME_L|
PRES_SUPPREMENT_CD_S|
PRES_SUPPREMENT_NAME_S|
PRES_SUPPREMENT_NAME_L|
PRES_INSTRUCTION_COMMENT|
PRES_INSTRUCTIONS_NAME</t>
    <phoneticPr fontId="1"/>
  </si>
  <si>
    <t>INJ_ADMINISTRATION_NOTES|
INJ_ADMINISTERED_PER|
INJ_INDICATION</t>
    <phoneticPr fontId="1"/>
  </si>
  <si>
    <t>Prescription Data.
PRES_ADMINISTRATION_CD_S+
PRES_ADMINISTRATION_NAME_S+
PRES_ADMINISTRATION_NAME_L+
PRES_SUPPLEMENT_CD_S+
PRES_SUPPLEMENT_NAME_S+
PRES_SUPPLEMENT_NAME_L+
PRES_RP_COMMENT+
PRES_INSTRUCTIONS_NAME</t>
    <phoneticPr fontId="1"/>
  </si>
  <si>
    <t>以下のカラムを連結する
・標準用法コード
・標準用法テキスト
・用法テキスト
・標準補足用法コード
・標準補足用法名称
・補足用法名称
・用法コメント
・依頼者の投薬指示内容</t>
    <rPh sb="0" eb="2">
      <t>イカ</t>
    </rPh>
    <rPh sb="7" eb="9">
      <t>レンケツ</t>
    </rPh>
    <rPh sb="13" eb="15">
      <t>ヒョウジュン</t>
    </rPh>
    <rPh sb="15" eb="17">
      <t>ヨウホウ</t>
    </rPh>
    <rPh sb="22" eb="24">
      <t>ヒョウジュン</t>
    </rPh>
    <rPh sb="24" eb="26">
      <t>ヨウホウ</t>
    </rPh>
    <rPh sb="32" eb="34">
      <t>ヨウホウ</t>
    </rPh>
    <rPh sb="40" eb="42">
      <t>ヒョウジュン</t>
    </rPh>
    <rPh sb="42" eb="44">
      <t>ホソク</t>
    </rPh>
    <rPh sb="44" eb="46">
      <t>ヨウホウ</t>
    </rPh>
    <rPh sb="51" eb="53">
      <t>ヒョウジュン</t>
    </rPh>
    <rPh sb="53" eb="55">
      <t>ホソク</t>
    </rPh>
    <rPh sb="55" eb="57">
      <t>ヨウホウ</t>
    </rPh>
    <rPh sb="57" eb="59">
      <t>メイショウ</t>
    </rPh>
    <rPh sb="61" eb="63">
      <t>ホソク</t>
    </rPh>
    <rPh sb="63" eb="65">
      <t>ヨウホウ</t>
    </rPh>
    <rPh sb="65" eb="67">
      <t>メイショウ</t>
    </rPh>
    <rPh sb="69" eb="71">
      <t>ヨウホウ</t>
    </rPh>
    <rPh sb="77" eb="80">
      <t>イライシャ</t>
    </rPh>
    <rPh sb="81" eb="85">
      <t>トウヤクシジ</t>
    </rPh>
    <rPh sb="85" eb="87">
      <t>ナイヨウ</t>
    </rPh>
    <phoneticPr fontId="1"/>
  </si>
  <si>
    <t>Injection Data.
INJ_ADMINISTRATION_NOTES+
INJ_ADMINISTERED_PER+
INJ_INDICATION</t>
    <phoneticPr fontId="1"/>
  </si>
  <si>
    <t>Observation Result.
OBX_CD_S+
OBX_NAME_S+
OBX_NAME_L+
SPM_CD_S+
SPM_NAME_S</t>
    <phoneticPr fontId="1"/>
  </si>
  <si>
    <t>検査項目標準コード|検査項目標準名称|検査項目ローカル名称|材料標準コード|材料標準名称形式に編集して判読可能な値として登録する</t>
    <rPh sb="19" eb="21">
      <t>ケンサ</t>
    </rPh>
    <rPh sb="21" eb="23">
      <t>コウモク</t>
    </rPh>
    <rPh sb="27" eb="29">
      <t>メイショウ</t>
    </rPh>
    <rPh sb="30" eb="32">
      <t>ザイリョウ</t>
    </rPh>
    <rPh sb="32" eb="34">
      <t>ヒョウジュン</t>
    </rPh>
    <rPh sb="38" eb="40">
      <t>ザイリョウ</t>
    </rPh>
    <rPh sb="40" eb="42">
      <t>ヒョウジュン</t>
    </rPh>
    <rPh sb="42" eb="44">
      <t>メイショウ</t>
    </rPh>
    <rPh sb="44" eb="46">
      <t>ケイシキ</t>
    </rPh>
    <phoneticPr fontId="1"/>
  </si>
  <si>
    <t>measurement_source_value編集仕様の変更</t>
    <rPh sb="24" eb="26">
      <t>ヘンシュウ</t>
    </rPh>
    <rPh sb="26" eb="28">
      <t>シヨウ</t>
    </rPh>
    <rPh sb="29" eb="31">
      <t>ヘンコウ</t>
    </rPh>
    <phoneticPr fontId="1"/>
  </si>
  <si>
    <t>sig編集仕様の変更</t>
    <rPh sb="3" eb="5">
      <t>ヘンシュウ</t>
    </rPh>
    <rPh sb="5" eb="7">
      <t>シヨウ</t>
    </rPh>
    <rPh sb="8" eb="10">
      <t>ヘンコウ</t>
    </rPh>
    <phoneticPr fontId="1"/>
  </si>
  <si>
    <t>ベンダー</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</si>
</sst>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 "/>
    <numFmt numFmtId="177" formatCode="yyyy/m/d\ h:mm;@"/>
  </numFmts>
  <fonts count="3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u/>
      <sz val="11"/>
      <color theme="10"/>
      <name val="游ゴシック"/>
      <family val="2"/>
      <charset val="128"/>
      <scheme val="minor"/>
    </font>
    <font>
      <sz val="11"/>
      <color rgb="FFFF0000"/>
      <name val="游ゴシック"/>
      <family val="2"/>
      <charset val="128"/>
      <scheme val="minor"/>
    </font>
    <font>
      <sz val="10"/>
      <color theme="1"/>
      <name val="Arial Unicode MS"/>
      <family val="2"/>
    </font>
    <font>
      <sz val="10"/>
      <color rgb="FFFF0000"/>
      <name val="Arial Unicode MS"/>
      <family val="2"/>
    </font>
    <font>
      <sz val="10"/>
      <color rgb="FF0000CC"/>
      <name val="Arial Unicode MS"/>
      <family val="2"/>
    </font>
    <font>
      <sz val="10"/>
      <name val="Arial Unicode MS"/>
      <family val="2"/>
    </font>
    <font>
      <b/>
      <sz val="10"/>
      <color rgb="FF484848"/>
      <name val="Segoe UI"/>
      <family val="2"/>
    </font>
    <font>
      <sz val="10"/>
      <color theme="1"/>
      <name val="Segoe UI"/>
      <family val="2"/>
    </font>
    <font>
      <sz val="10"/>
      <color rgb="FF464646"/>
      <name val="Segoe UI"/>
      <family val="2"/>
    </font>
    <font>
      <u/>
      <sz val="10"/>
      <color theme="10"/>
      <name val="Segoe UI"/>
      <family val="2"/>
    </font>
    <font>
      <sz val="10"/>
      <color rgb="FF242424"/>
      <name val="Segoe UI"/>
      <family val="2"/>
    </font>
    <font>
      <sz val="11"/>
      <color rgb="FFFF0000"/>
      <name val="游ゴシック"/>
      <family val="3"/>
      <charset val="128"/>
      <scheme val="minor"/>
    </font>
    <font>
      <sz val="11"/>
      <color rgb="FF0000CC"/>
      <name val="游ゴシック"/>
      <family val="2"/>
      <charset val="128"/>
      <scheme val="minor"/>
    </font>
    <font>
      <sz val="11"/>
      <color rgb="FF0000CC"/>
      <name val="游ゴシック"/>
      <family val="3"/>
      <charset val="128"/>
      <scheme val="minor"/>
    </font>
    <font>
      <sz val="11"/>
      <color theme="1"/>
      <name val="游ゴシック"/>
      <family val="3"/>
      <charset val="128"/>
      <scheme val="minor"/>
    </font>
    <font>
      <sz val="11"/>
      <name val="游ゴシック"/>
      <family val="2"/>
      <charset val="128"/>
      <scheme val="minor"/>
    </font>
    <font>
      <sz val="11"/>
      <name val="游ゴシック"/>
      <family val="3"/>
      <charset val="128"/>
      <scheme val="minor"/>
    </font>
    <font>
      <u/>
      <sz val="11"/>
      <name val="游ゴシック"/>
      <family val="3"/>
      <charset val="128"/>
      <scheme val="minor"/>
    </font>
    <font>
      <b/>
      <sz val="11"/>
      <color rgb="FF0000CC"/>
      <name val="游ゴシック"/>
      <family val="3"/>
      <charset val="128"/>
      <scheme val="minor"/>
    </font>
    <font>
      <b/>
      <sz val="14"/>
      <color theme="1"/>
      <name val="游ゴシック"/>
      <family val="3"/>
      <charset val="128"/>
      <scheme val="minor"/>
    </font>
    <font>
      <sz val="20"/>
      <color theme="1"/>
      <name val="游ゴシック"/>
      <family val="3"/>
      <charset val="128"/>
      <scheme val="minor"/>
    </font>
    <font>
      <sz val="10"/>
      <name val="游ゴシック"/>
      <family val="3"/>
      <charset val="128"/>
      <scheme val="minor"/>
    </font>
    <font>
      <b/>
      <sz val="10"/>
      <name val="游ゴシック"/>
      <family val="3"/>
      <charset val="128"/>
      <scheme val="minor"/>
    </font>
    <font>
      <sz val="6"/>
      <name val="ＭＳ ゴシック"/>
      <family val="2"/>
      <charset val="128"/>
    </font>
    <font>
      <sz val="11"/>
      <color indexed="8"/>
      <name val="ＭＳ Ｐゴシック"/>
      <family val="3"/>
      <charset val="128"/>
    </font>
    <font>
      <b/>
      <sz val="20"/>
      <color theme="1"/>
      <name val="游ゴシック"/>
      <family val="3"/>
      <charset val="128"/>
      <scheme val="minor"/>
    </font>
    <font>
      <b/>
      <sz val="8"/>
      <color rgb="FF333333"/>
      <name val="Segoe UI"/>
      <family val="2"/>
    </font>
    <font>
      <sz val="8"/>
      <color rgb="FF333333"/>
      <name val="Segoe UI"/>
      <family val="2"/>
    </font>
  </fonts>
  <fills count="12">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rgb="FFF9F9F9"/>
        <bgColor indexed="64"/>
      </patternFill>
    </fill>
    <fill>
      <patternFill patternType="solid">
        <fgColor rgb="FFFAFAFA"/>
        <bgColor indexed="64"/>
      </patternFill>
    </fill>
    <fill>
      <patternFill patternType="solid">
        <fgColor rgb="FFF6F6F6"/>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indexed="22"/>
        <bgColor indexed="0"/>
      </patternFill>
    </fill>
    <fill>
      <patternFill patternType="solid">
        <fgColor theme="9" tint="0.79998168889431442"/>
        <bgColor indexed="64"/>
      </patternFill>
    </fill>
    <fill>
      <patternFill patternType="solid">
        <fgColor rgb="FFFFFFFF"/>
        <bgColor indexed="64"/>
      </patternFill>
    </fill>
  </fills>
  <borders count="57">
    <border>
      <left/>
      <right/>
      <top/>
      <bottom/>
      <diagonal/>
    </border>
    <border>
      <left style="thin">
        <color indexed="64"/>
      </left>
      <right style="thin">
        <color indexed="64"/>
      </right>
      <top style="thin">
        <color indexed="64"/>
      </top>
      <bottom style="thin">
        <color indexed="64"/>
      </bottom>
      <diagonal/>
    </border>
    <border>
      <left/>
      <right/>
      <top/>
      <bottom style="medium">
        <color rgb="FFE1E1E1"/>
      </bottom>
      <diagonal/>
    </border>
    <border>
      <left style="medium">
        <color rgb="FFE0E0E0"/>
      </left>
      <right style="medium">
        <color rgb="FFE0E0E0"/>
      </right>
      <top style="medium">
        <color rgb="FFE0E0E0"/>
      </top>
      <bottom style="medium">
        <color rgb="FFE0E0E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style="medium">
        <color indexed="64"/>
      </bottom>
      <diagonal/>
    </border>
    <border>
      <left style="medium">
        <color indexed="64"/>
      </left>
      <right/>
      <top/>
      <bottom style="medium">
        <color indexed="64"/>
      </bottom>
      <diagonal/>
    </border>
    <border>
      <left style="medium">
        <color indexed="64"/>
      </left>
      <right/>
      <top/>
      <bottom/>
      <diagonal/>
    </border>
    <border>
      <left/>
      <right/>
      <top style="medium">
        <color indexed="64"/>
      </top>
      <bottom/>
      <diagonal/>
    </border>
    <border>
      <left style="medium">
        <color indexed="64"/>
      </left>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diagonal/>
    </border>
    <border>
      <left style="medium">
        <color rgb="FF000000"/>
      </left>
      <right style="medium">
        <color rgb="FFC0C0C0"/>
      </right>
      <top style="medium">
        <color rgb="FF000000"/>
      </top>
      <bottom style="medium">
        <color rgb="FFC0C0C0"/>
      </bottom>
      <diagonal/>
    </border>
    <border>
      <left style="medium">
        <color rgb="FFC0C0C0"/>
      </left>
      <right style="medium">
        <color rgb="FFC0C0C0"/>
      </right>
      <top style="medium">
        <color rgb="FF000000"/>
      </top>
      <bottom style="medium">
        <color rgb="FFC0C0C0"/>
      </bottom>
      <diagonal/>
    </border>
    <border>
      <left style="medium">
        <color rgb="FFC0C0C0"/>
      </left>
      <right/>
      <top style="medium">
        <color rgb="FF000000"/>
      </top>
      <bottom style="medium">
        <color rgb="FFC0C0C0"/>
      </bottom>
      <diagonal/>
    </border>
    <border>
      <left style="medium">
        <color indexed="64"/>
      </left>
      <right style="medium">
        <color indexed="64"/>
      </right>
      <top style="medium">
        <color indexed="64"/>
      </top>
      <bottom/>
      <diagonal/>
    </border>
    <border>
      <left style="medium">
        <color rgb="FF000000"/>
      </left>
      <right style="medium">
        <color rgb="FFC0C0C0"/>
      </right>
      <top style="medium">
        <color rgb="FFC0C0C0"/>
      </top>
      <bottom style="medium">
        <color rgb="FFC0C0C0"/>
      </bottom>
      <diagonal/>
    </border>
    <border>
      <left style="medium">
        <color rgb="FFC0C0C0"/>
      </left>
      <right style="medium">
        <color rgb="FFC0C0C0"/>
      </right>
      <top style="medium">
        <color rgb="FFC0C0C0"/>
      </top>
      <bottom style="medium">
        <color rgb="FFC0C0C0"/>
      </bottom>
      <diagonal/>
    </border>
    <border>
      <left style="medium">
        <color rgb="FFC0C0C0"/>
      </left>
      <right/>
      <top style="medium">
        <color rgb="FFC0C0C0"/>
      </top>
      <bottom style="medium">
        <color rgb="FFC0C0C0"/>
      </bottom>
      <diagonal/>
    </border>
    <border>
      <left style="medium">
        <color indexed="64"/>
      </left>
      <right style="medium">
        <color indexed="64"/>
      </right>
      <top/>
      <bottom/>
      <diagonal/>
    </border>
    <border>
      <left style="medium">
        <color rgb="FF000000"/>
      </left>
      <right style="medium">
        <color rgb="FFC0C0C0"/>
      </right>
      <top style="medium">
        <color rgb="FFC0C0C0"/>
      </top>
      <bottom style="medium">
        <color rgb="FF000000"/>
      </bottom>
      <diagonal/>
    </border>
    <border>
      <left style="medium">
        <color rgb="FFC0C0C0"/>
      </left>
      <right style="medium">
        <color rgb="FFC0C0C0"/>
      </right>
      <top style="medium">
        <color rgb="FFC0C0C0"/>
      </top>
      <bottom style="medium">
        <color rgb="FF000000"/>
      </bottom>
      <diagonal/>
    </border>
    <border>
      <left style="medium">
        <color rgb="FFC0C0C0"/>
      </left>
      <right/>
      <top style="medium">
        <color rgb="FFC0C0C0"/>
      </top>
      <bottom style="medium">
        <color rgb="FF000000"/>
      </bottom>
      <diagonal/>
    </border>
    <border>
      <left style="medium">
        <color indexed="64"/>
      </left>
      <right style="medium">
        <color indexed="64"/>
      </right>
      <top/>
      <bottom style="medium">
        <color indexed="64"/>
      </bottom>
      <diagonal/>
    </border>
  </borders>
  <cellStyleXfs count="12">
    <xf numFmtId="0" fontId="0" fillId="0" borderId="0">
      <alignment vertical="center"/>
    </xf>
    <xf numFmtId="0" fontId="3" fillId="0" borderId="0" applyNumberFormat="0" applyFill="0" applyBorder="0" applyAlignment="0" applyProtection="0">
      <alignment vertical="center"/>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cellStyleXfs>
  <cellXfs count="264">
    <xf numFmtId="0" fontId="0" fillId="0" borderId="0" xfId="0">
      <alignment vertical="center"/>
    </xf>
    <xf numFmtId="0" fontId="0" fillId="0" borderId="1" xfId="0" applyBorder="1">
      <alignment vertical="center"/>
    </xf>
    <xf numFmtId="0" fontId="0" fillId="2" borderId="1" xfId="0" applyFill="1" applyBorder="1">
      <alignment vertical="center"/>
    </xf>
    <xf numFmtId="0" fontId="0" fillId="0" borderId="0" xfId="0" applyAlignment="1">
      <alignment vertical="center" wrapText="1"/>
    </xf>
    <xf numFmtId="0" fontId="0" fillId="0" borderId="1" xfId="0" applyBorder="1" applyAlignment="1">
      <alignment vertical="center" wrapText="1"/>
    </xf>
    <xf numFmtId="0" fontId="0" fillId="2" borderId="1" xfId="0" applyFill="1" applyBorder="1" applyAlignment="1">
      <alignment vertical="center" wrapText="1"/>
    </xf>
    <xf numFmtId="0" fontId="2" fillId="0" borderId="0" xfId="0" applyFont="1">
      <alignment vertical="center"/>
    </xf>
    <xf numFmtId="0" fontId="3" fillId="0" borderId="0" xfId="1">
      <alignment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left" vertical="center" wrapText="1"/>
    </xf>
    <xf numFmtId="0" fontId="0" fillId="0" borderId="0" xfId="0" applyAlignment="1">
      <alignment horizontal="left" vertical="center" wrapText="1"/>
    </xf>
    <xf numFmtId="0" fontId="0" fillId="3" borderId="1" xfId="0" applyFill="1" applyBorder="1">
      <alignment vertical="center"/>
    </xf>
    <xf numFmtId="0" fontId="0" fillId="3" borderId="1" xfId="0" applyFill="1" applyBorder="1" applyAlignment="1">
      <alignment horizontal="center" vertical="center"/>
    </xf>
    <xf numFmtId="0" fontId="0" fillId="3" borderId="1" xfId="0" applyFill="1" applyBorder="1" applyAlignment="1">
      <alignment horizontal="left" vertical="center" wrapText="1"/>
    </xf>
    <xf numFmtId="0" fontId="0" fillId="3" borderId="1" xfId="0" applyFill="1" applyBorder="1" applyAlignment="1">
      <alignment vertical="center" wrapText="1"/>
    </xf>
    <xf numFmtId="0" fontId="3" fillId="3" borderId="1" xfId="1" applyFill="1" applyBorder="1" applyAlignment="1">
      <alignment vertical="center" wrapText="1"/>
    </xf>
    <xf numFmtId="0" fontId="5" fillId="0" borderId="0" xfId="0" applyFont="1">
      <alignment vertical="center"/>
    </xf>
    <xf numFmtId="0" fontId="6" fillId="0" borderId="0" xfId="0" applyFont="1">
      <alignment vertical="center"/>
    </xf>
    <xf numFmtId="0" fontId="4" fillId="0" borderId="0" xfId="0" applyFont="1">
      <alignment vertical="center"/>
    </xf>
    <xf numFmtId="0" fontId="7" fillId="0" borderId="0" xfId="0" applyFont="1">
      <alignment vertical="center"/>
    </xf>
    <xf numFmtId="0" fontId="8" fillId="0" borderId="0" xfId="0" applyFont="1">
      <alignment vertical="center"/>
    </xf>
    <xf numFmtId="0" fontId="9" fillId="4" borderId="0" xfId="0" applyFont="1" applyFill="1" applyAlignment="1">
      <alignment horizontal="left" vertical="center"/>
    </xf>
    <xf numFmtId="0" fontId="10" fillId="0" borderId="0" xfId="0" applyFont="1">
      <alignment vertical="center"/>
    </xf>
    <xf numFmtId="0" fontId="11" fillId="0" borderId="2" xfId="0" applyFont="1" applyBorder="1" applyAlignment="1">
      <alignment vertical="center" wrapText="1"/>
    </xf>
    <xf numFmtId="0" fontId="12" fillId="0" borderId="2" xfId="1" applyFont="1" applyBorder="1" applyAlignment="1">
      <alignment vertical="center" wrapText="1"/>
    </xf>
    <xf numFmtId="0" fontId="13" fillId="5" borderId="3" xfId="0" applyFont="1" applyFill="1" applyBorder="1" applyAlignment="1">
      <alignment vertical="center" wrapText="1"/>
    </xf>
    <xf numFmtId="0" fontId="11" fillId="6" borderId="2" xfId="0" applyFont="1" applyFill="1" applyBorder="1" applyAlignment="1">
      <alignment vertical="center" wrapText="1"/>
    </xf>
    <xf numFmtId="0" fontId="12" fillId="6" borderId="2" xfId="1" applyFont="1" applyFill="1" applyBorder="1" applyAlignment="1">
      <alignment vertical="center" wrapText="1"/>
    </xf>
    <xf numFmtId="0" fontId="4" fillId="3" borderId="1" xfId="0" applyFont="1" applyFill="1" applyBorder="1" applyAlignment="1">
      <alignment vertical="center" wrapText="1"/>
    </xf>
    <xf numFmtId="0" fontId="14" fillId="3" borderId="1" xfId="0" applyFont="1" applyFill="1" applyBorder="1" applyAlignment="1">
      <alignment vertical="center" wrapText="1"/>
    </xf>
    <xf numFmtId="0" fontId="15" fillId="3" borderId="1" xfId="0" applyFont="1" applyFill="1" applyBorder="1" applyAlignment="1">
      <alignment vertical="center" wrapText="1"/>
    </xf>
    <xf numFmtId="0" fontId="15" fillId="3" borderId="1" xfId="0" applyFont="1" applyFill="1" applyBorder="1">
      <alignment vertical="center"/>
    </xf>
    <xf numFmtId="0" fontId="16" fillId="3" borderId="1" xfId="0" applyFont="1" applyFill="1" applyBorder="1">
      <alignment vertical="center"/>
    </xf>
    <xf numFmtId="0" fontId="17" fillId="3" borderId="1" xfId="0" applyFont="1" applyFill="1" applyBorder="1" applyAlignment="1">
      <alignment horizontal="left" vertical="center" wrapText="1"/>
    </xf>
    <xf numFmtId="0" fontId="0" fillId="3" borderId="7" xfId="0" applyFill="1" applyBorder="1">
      <alignment vertical="center"/>
    </xf>
    <xf numFmtId="0" fontId="0" fillId="3" borderId="8" xfId="0" applyFill="1" applyBorder="1" applyAlignment="1">
      <alignment horizontal="left" vertical="center" wrapText="1"/>
    </xf>
    <xf numFmtId="0" fontId="0" fillId="0" borderId="7" xfId="0" applyBorder="1">
      <alignment vertical="center"/>
    </xf>
    <xf numFmtId="0" fontId="0" fillId="0" borderId="8" xfId="0" applyBorder="1" applyAlignment="1">
      <alignment horizontal="left" vertical="center" wrapText="1"/>
    </xf>
    <xf numFmtId="0" fontId="0" fillId="2" borderId="12" xfId="0" applyFill="1" applyBorder="1">
      <alignment vertical="center"/>
    </xf>
    <xf numFmtId="0" fontId="0" fillId="2" borderId="13" xfId="0" applyFill="1" applyBorder="1">
      <alignment vertical="center"/>
    </xf>
    <xf numFmtId="0" fontId="0" fillId="2" borderId="13" xfId="0" applyFill="1" applyBorder="1" applyAlignment="1">
      <alignment horizontal="center" vertical="center"/>
    </xf>
    <xf numFmtId="0" fontId="0" fillId="2" borderId="13" xfId="0" applyFill="1" applyBorder="1" applyAlignment="1">
      <alignment horizontal="left" vertical="center" wrapText="1"/>
    </xf>
    <xf numFmtId="0" fontId="0" fillId="2" borderId="14" xfId="0" applyFill="1" applyBorder="1" applyAlignment="1">
      <alignment horizontal="left" vertical="center" wrapText="1"/>
    </xf>
    <xf numFmtId="0" fontId="0" fillId="3" borderId="4" xfId="0" applyFill="1" applyBorder="1">
      <alignment vertical="center"/>
    </xf>
    <xf numFmtId="0" fontId="0" fillId="3" borderId="5" xfId="0" applyFill="1" applyBorder="1">
      <alignment vertical="center"/>
    </xf>
    <xf numFmtId="0" fontId="0" fillId="3" borderId="5" xfId="0" applyFill="1" applyBorder="1" applyAlignment="1">
      <alignment horizontal="center" vertical="center"/>
    </xf>
    <xf numFmtId="0" fontId="17" fillId="3" borderId="5" xfId="0" applyFont="1" applyFill="1" applyBorder="1" applyAlignment="1">
      <alignment horizontal="left" vertical="center" wrapText="1"/>
    </xf>
    <xf numFmtId="0" fontId="0" fillId="3" borderId="6" xfId="0" applyFill="1" applyBorder="1" applyAlignment="1">
      <alignment horizontal="left" vertical="center" wrapText="1"/>
    </xf>
    <xf numFmtId="0" fontId="0" fillId="0" borderId="9" xfId="0" applyBorder="1">
      <alignment vertical="center"/>
    </xf>
    <xf numFmtId="0" fontId="0" fillId="0" borderId="10" xfId="0" applyBorder="1">
      <alignment vertical="center"/>
    </xf>
    <xf numFmtId="0" fontId="0" fillId="0" borderId="10" xfId="0" applyBorder="1" applyAlignment="1">
      <alignment horizontal="center" vertical="center"/>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4" xfId="0" applyBorder="1">
      <alignment vertical="center"/>
    </xf>
    <xf numFmtId="0" fontId="0" fillId="0" borderId="5" xfId="0" applyBorder="1">
      <alignment vertical="center"/>
    </xf>
    <xf numFmtId="0" fontId="0" fillId="0" borderId="5" xfId="0" applyBorder="1" applyAlignment="1">
      <alignment horizontal="center" vertical="center"/>
    </xf>
    <xf numFmtId="0" fontId="0" fillId="0" borderId="5" xfId="0" applyBorder="1" applyAlignment="1">
      <alignment horizontal="left" vertical="center" wrapText="1"/>
    </xf>
    <xf numFmtId="0" fontId="0" fillId="0" borderId="6" xfId="0" applyBorder="1" applyAlignment="1">
      <alignment horizontal="left" vertical="center" wrapText="1"/>
    </xf>
    <xf numFmtId="0" fontId="14" fillId="0" borderId="0" xfId="0" applyFont="1">
      <alignment vertical="center"/>
    </xf>
    <xf numFmtId="49" fontId="0" fillId="0" borderId="0" xfId="0" applyNumberFormat="1">
      <alignment vertical="center"/>
    </xf>
    <xf numFmtId="0" fontId="0" fillId="7" borderId="1" xfId="0" applyFill="1" applyBorder="1">
      <alignment vertical="center"/>
    </xf>
    <xf numFmtId="0" fontId="0" fillId="7" borderId="1" xfId="0" applyFill="1" applyBorder="1" applyAlignment="1">
      <alignment vertical="center" wrapText="1"/>
    </xf>
    <xf numFmtId="0" fontId="4" fillId="3" borderId="1" xfId="0" applyFont="1" applyFill="1" applyBorder="1">
      <alignment vertical="center"/>
    </xf>
    <xf numFmtId="0" fontId="4" fillId="0" borderId="1" xfId="0" applyFont="1" applyBorder="1">
      <alignment vertical="center"/>
    </xf>
    <xf numFmtId="0" fontId="18" fillId="3" borderId="1" xfId="0" applyFont="1" applyFill="1" applyBorder="1" applyAlignment="1">
      <alignment vertical="center" wrapText="1"/>
    </xf>
    <xf numFmtId="0" fontId="14" fillId="3" borderId="1" xfId="0" applyFont="1" applyFill="1" applyBorder="1">
      <alignment vertical="center"/>
    </xf>
    <xf numFmtId="0" fontId="19" fillId="3" borderId="1" xfId="0" applyFont="1" applyFill="1" applyBorder="1">
      <alignment vertical="center"/>
    </xf>
    <xf numFmtId="0" fontId="19" fillId="3" borderId="1" xfId="0" applyFont="1" applyFill="1" applyBorder="1" applyAlignment="1">
      <alignment vertical="center" wrapText="1"/>
    </xf>
    <xf numFmtId="0" fontId="20" fillId="3" borderId="1" xfId="1" applyFont="1" applyFill="1" applyBorder="1" applyAlignment="1">
      <alignment vertical="center" wrapText="1"/>
    </xf>
    <xf numFmtId="0" fontId="19" fillId="7" borderId="1" xfId="0" applyFont="1" applyFill="1" applyBorder="1">
      <alignment vertical="center"/>
    </xf>
    <xf numFmtId="0" fontId="14" fillId="7" borderId="1" xfId="0" applyFont="1" applyFill="1" applyBorder="1" applyAlignment="1">
      <alignment vertical="center" wrapText="1"/>
    </xf>
    <xf numFmtId="0" fontId="19" fillId="7" borderId="1" xfId="0" applyFont="1" applyFill="1" applyBorder="1" applyAlignment="1">
      <alignment vertical="center" wrapText="1"/>
    </xf>
    <xf numFmtId="0" fontId="0" fillId="8" borderId="15" xfId="0" applyFill="1" applyBorder="1">
      <alignment vertical="center"/>
    </xf>
    <xf numFmtId="0" fontId="0" fillId="8" borderId="16" xfId="0" applyFill="1" applyBorder="1" applyAlignment="1">
      <alignment horizontal="center" vertical="center"/>
    </xf>
    <xf numFmtId="0" fontId="0" fillId="8" borderId="18" xfId="0" applyFill="1" applyBorder="1">
      <alignment vertical="center"/>
    </xf>
    <xf numFmtId="0" fontId="0" fillId="8" borderId="19" xfId="0" applyFill="1" applyBorder="1" applyAlignment="1">
      <alignment horizontal="center" vertical="center"/>
    </xf>
    <xf numFmtId="0" fontId="2" fillId="0" borderId="0" xfId="0" applyFont="1" applyAlignment="1">
      <alignment horizontal="left" vertical="center"/>
    </xf>
    <xf numFmtId="0" fontId="20" fillId="7" borderId="1" xfId="1" applyFont="1" applyFill="1" applyBorder="1" applyAlignment="1">
      <alignment vertical="center" wrapText="1"/>
    </xf>
    <xf numFmtId="0" fontId="0" fillId="0" borderId="19" xfId="0" applyBorder="1" applyAlignment="1">
      <alignment horizontal="center" vertical="center"/>
    </xf>
    <xf numFmtId="0" fontId="0" fillId="0" borderId="18" xfId="0" applyBorder="1">
      <alignment vertical="center"/>
    </xf>
    <xf numFmtId="0" fontId="0" fillId="0" borderId="17" xfId="0" applyBorder="1" applyAlignment="1">
      <alignment horizontal="center" vertical="center"/>
    </xf>
    <xf numFmtId="0" fontId="0" fillId="0" borderId="16" xfId="0" applyBorder="1" applyAlignment="1">
      <alignment horizontal="center" vertical="center"/>
    </xf>
    <xf numFmtId="0" fontId="0" fillId="0" borderId="15" xfId="0" applyBorder="1">
      <alignment vertical="center"/>
    </xf>
    <xf numFmtId="0" fontId="2" fillId="0" borderId="0" xfId="0" applyFont="1" applyAlignment="1">
      <alignment vertical="center" wrapText="1"/>
    </xf>
    <xf numFmtId="0" fontId="15" fillId="7" borderId="1" xfId="0" applyFont="1" applyFill="1" applyBorder="1">
      <alignment vertical="center"/>
    </xf>
    <xf numFmtId="0" fontId="22" fillId="0" borderId="0" xfId="0" applyFont="1">
      <alignment vertical="center"/>
    </xf>
    <xf numFmtId="0" fontId="0" fillId="0" borderId="20" xfId="0" applyBorder="1">
      <alignment vertical="center"/>
    </xf>
    <xf numFmtId="0" fontId="0" fillId="0" borderId="21" xfId="0" applyBorder="1">
      <alignment vertical="center"/>
    </xf>
    <xf numFmtId="0" fontId="0" fillId="0" borderId="22" xfId="0" applyBorder="1">
      <alignment vertical="center"/>
    </xf>
    <xf numFmtId="0" fontId="0" fillId="0" borderId="23" xfId="0" applyBorder="1">
      <alignment vertical="center"/>
    </xf>
    <xf numFmtId="0" fontId="0" fillId="0" borderId="24" xfId="0" applyBorder="1">
      <alignment vertical="center"/>
    </xf>
    <xf numFmtId="0" fontId="0" fillId="0" borderId="25" xfId="0" applyBorder="1">
      <alignment vertical="center"/>
    </xf>
    <xf numFmtId="0" fontId="0" fillId="0" borderId="26" xfId="0" applyBorder="1">
      <alignment vertical="center"/>
    </xf>
    <xf numFmtId="0" fontId="0" fillId="0" borderId="27" xfId="0" applyBorder="1">
      <alignment vertical="center"/>
    </xf>
    <xf numFmtId="0" fontId="0" fillId="0" borderId="28" xfId="0" applyBorder="1">
      <alignment vertical="center"/>
    </xf>
    <xf numFmtId="0" fontId="0" fillId="0" borderId="29" xfId="0" applyBorder="1">
      <alignment vertical="center"/>
    </xf>
    <xf numFmtId="0" fontId="0" fillId="0" borderId="29" xfId="0" applyBorder="1" applyAlignment="1">
      <alignment horizontal="center" vertical="center"/>
    </xf>
    <xf numFmtId="0" fontId="0" fillId="0" borderId="29" xfId="0" applyBorder="1" applyAlignment="1">
      <alignment horizontal="left" vertical="center" wrapText="1"/>
    </xf>
    <xf numFmtId="0" fontId="0" fillId="0" borderId="30" xfId="0" applyBorder="1" applyAlignment="1">
      <alignment horizontal="left" vertical="center" wrapText="1"/>
    </xf>
    <xf numFmtId="0" fontId="0" fillId="0" borderId="31" xfId="0" applyBorder="1">
      <alignment vertical="center"/>
    </xf>
    <xf numFmtId="0" fontId="0" fillId="0" borderId="32" xfId="0" applyBorder="1">
      <alignment vertical="center"/>
    </xf>
    <xf numFmtId="0" fontId="0" fillId="0" borderId="32" xfId="0" applyBorder="1" applyAlignment="1">
      <alignment horizontal="center" vertical="center"/>
    </xf>
    <xf numFmtId="0" fontId="0" fillId="0" borderId="32" xfId="0" applyBorder="1" applyAlignment="1">
      <alignment horizontal="left" vertical="center" wrapText="1"/>
    </xf>
    <xf numFmtId="0" fontId="0" fillId="0" borderId="33" xfId="0" applyBorder="1" applyAlignment="1">
      <alignment horizontal="left" vertical="center" wrapText="1"/>
    </xf>
    <xf numFmtId="0" fontId="0" fillId="0" borderId="37" xfId="0" applyBorder="1">
      <alignment vertical="center"/>
    </xf>
    <xf numFmtId="0" fontId="0" fillId="0" borderId="38" xfId="0" applyBorder="1" applyAlignment="1">
      <alignment horizontal="left" vertical="center" wrapText="1"/>
    </xf>
    <xf numFmtId="0" fontId="0" fillId="0" borderId="39" xfId="0" applyBorder="1">
      <alignment vertical="center"/>
    </xf>
    <xf numFmtId="0" fontId="0" fillId="0" borderId="40" xfId="0" applyBorder="1">
      <alignment vertical="center"/>
    </xf>
    <xf numFmtId="0" fontId="0" fillId="0" borderId="40" xfId="0" applyBorder="1" applyAlignment="1">
      <alignment horizontal="center" vertical="center"/>
    </xf>
    <xf numFmtId="0" fontId="0" fillId="0" borderId="40" xfId="0" applyBorder="1" applyAlignment="1">
      <alignment horizontal="left" vertical="center" wrapText="1"/>
    </xf>
    <xf numFmtId="0" fontId="0" fillId="0" borderId="41" xfId="0" applyBorder="1" applyAlignment="1">
      <alignment horizontal="left" vertical="center" wrapText="1"/>
    </xf>
    <xf numFmtId="0" fontId="0" fillId="3" borderId="34" xfId="0" applyFill="1" applyBorder="1">
      <alignment vertical="center"/>
    </xf>
    <xf numFmtId="0" fontId="0" fillId="3" borderId="35" xfId="0" applyFill="1" applyBorder="1">
      <alignment vertical="center"/>
    </xf>
    <xf numFmtId="0" fontId="0" fillId="3" borderId="35" xfId="0" applyFill="1" applyBorder="1" applyAlignment="1">
      <alignment horizontal="center" vertical="center"/>
    </xf>
    <xf numFmtId="0" fontId="0" fillId="3" borderId="36" xfId="0" applyFill="1" applyBorder="1" applyAlignment="1">
      <alignment horizontal="left" vertical="center" wrapText="1"/>
    </xf>
    <xf numFmtId="0" fontId="0" fillId="3" borderId="37" xfId="0" applyFill="1" applyBorder="1">
      <alignment vertical="center"/>
    </xf>
    <xf numFmtId="0" fontId="0" fillId="3" borderId="38" xfId="0" applyFill="1" applyBorder="1" applyAlignment="1">
      <alignment horizontal="left" vertical="center" wrapText="1"/>
    </xf>
    <xf numFmtId="0" fontId="17" fillId="3" borderId="35" xfId="0" applyFont="1" applyFill="1" applyBorder="1" applyAlignment="1">
      <alignment horizontal="left" vertical="center" wrapText="1"/>
    </xf>
    <xf numFmtId="0" fontId="23" fillId="0" borderId="0" xfId="0" applyFont="1">
      <alignment vertical="center"/>
    </xf>
    <xf numFmtId="0" fontId="24" fillId="3" borderId="1" xfId="0" applyFont="1" applyFill="1" applyBorder="1" applyAlignment="1">
      <alignment vertical="center" wrapText="1"/>
    </xf>
    <xf numFmtId="0" fontId="27" fillId="9" borderId="1" xfId="2" applyFill="1" applyBorder="1" applyAlignment="1">
      <alignment horizontal="center"/>
    </xf>
    <xf numFmtId="0" fontId="27" fillId="0" borderId="1" xfId="2" applyBorder="1" applyAlignment="1">
      <alignment horizontal="right" wrapText="1"/>
    </xf>
    <xf numFmtId="0" fontId="27" fillId="0" borderId="1" xfId="2" applyBorder="1" applyAlignment="1">
      <alignment wrapText="1"/>
    </xf>
    <xf numFmtId="0" fontId="27" fillId="0" borderId="1" xfId="2" applyBorder="1"/>
    <xf numFmtId="0" fontId="27" fillId="9" borderId="1" xfId="3" applyFill="1" applyBorder="1" applyAlignment="1">
      <alignment horizontal="center"/>
    </xf>
    <xf numFmtId="0" fontId="27" fillId="0" borderId="1" xfId="3" applyBorder="1" applyAlignment="1">
      <alignment horizontal="right" wrapText="1"/>
    </xf>
    <xf numFmtId="0" fontId="27" fillId="0" borderId="1" xfId="3" applyBorder="1" applyAlignment="1">
      <alignment wrapText="1"/>
    </xf>
    <xf numFmtId="0" fontId="27" fillId="9" borderId="1" xfId="4" applyFill="1" applyBorder="1" applyAlignment="1">
      <alignment horizontal="center"/>
    </xf>
    <xf numFmtId="0" fontId="27" fillId="0" borderId="1" xfId="4" applyBorder="1" applyAlignment="1">
      <alignment horizontal="right" wrapText="1"/>
    </xf>
    <xf numFmtId="0" fontId="27" fillId="0" borderId="1" xfId="4" applyBorder="1" applyAlignment="1">
      <alignment wrapText="1"/>
    </xf>
    <xf numFmtId="0" fontId="27" fillId="0" borderId="1" xfId="4" applyBorder="1"/>
    <xf numFmtId="0" fontId="27" fillId="9" borderId="1" xfId="6" applyFill="1" applyBorder="1" applyAlignment="1">
      <alignment horizontal="center"/>
    </xf>
    <xf numFmtId="0" fontId="27" fillId="0" borderId="1" xfId="6" applyBorder="1" applyAlignment="1">
      <alignment horizontal="right" wrapText="1"/>
    </xf>
    <xf numFmtId="0" fontId="27" fillId="0" borderId="1" xfId="6" applyBorder="1"/>
    <xf numFmtId="0" fontId="27" fillId="0" borderId="1" xfId="6" applyBorder="1" applyAlignment="1">
      <alignment wrapText="1"/>
    </xf>
    <xf numFmtId="0" fontId="27" fillId="9" borderId="1" xfId="7" applyFill="1" applyBorder="1" applyAlignment="1">
      <alignment horizontal="center"/>
    </xf>
    <xf numFmtId="0" fontId="27" fillId="0" borderId="1" xfId="7" applyBorder="1" applyAlignment="1">
      <alignment horizontal="right" wrapText="1"/>
    </xf>
    <xf numFmtId="0" fontId="27" fillId="0" borderId="1" xfId="7" applyBorder="1"/>
    <xf numFmtId="0" fontId="27" fillId="0" borderId="1" xfId="7" applyBorder="1" applyAlignment="1">
      <alignment wrapText="1"/>
    </xf>
    <xf numFmtId="0" fontId="27" fillId="9" borderId="1" xfId="8" applyFill="1" applyBorder="1" applyAlignment="1">
      <alignment horizontal="center"/>
    </xf>
    <xf numFmtId="0" fontId="27" fillId="0" borderId="1" xfId="8" applyBorder="1" applyAlignment="1">
      <alignment horizontal="right" wrapText="1"/>
    </xf>
    <xf numFmtId="0" fontId="27" fillId="0" borderId="1" xfId="8" applyBorder="1" applyAlignment="1">
      <alignment wrapText="1"/>
    </xf>
    <xf numFmtId="0" fontId="27" fillId="0" borderId="1" xfId="8" applyBorder="1"/>
    <xf numFmtId="14" fontId="0" fillId="0" borderId="1" xfId="0" applyNumberFormat="1" applyBorder="1">
      <alignment vertical="center"/>
    </xf>
    <xf numFmtId="22" fontId="0" fillId="0" borderId="1" xfId="0" applyNumberFormat="1" applyBorder="1">
      <alignment vertical="center"/>
    </xf>
    <xf numFmtId="0" fontId="27" fillId="9" borderId="1" xfId="10" applyFill="1" applyBorder="1" applyAlignment="1">
      <alignment horizontal="center"/>
    </xf>
    <xf numFmtId="0" fontId="27" fillId="0" borderId="1" xfId="10" applyBorder="1" applyAlignment="1">
      <alignment horizontal="right" wrapText="1"/>
    </xf>
    <xf numFmtId="0" fontId="27" fillId="0" borderId="1" xfId="10" applyBorder="1" applyAlignment="1">
      <alignment wrapText="1"/>
    </xf>
    <xf numFmtId="0" fontId="27" fillId="0" borderId="1" xfId="10" applyBorder="1"/>
    <xf numFmtId="0" fontId="27" fillId="9" borderId="1" xfId="11" applyFill="1" applyBorder="1" applyAlignment="1">
      <alignment horizontal="center"/>
    </xf>
    <xf numFmtId="0" fontId="27" fillId="0" borderId="1" xfId="11" applyBorder="1" applyAlignment="1">
      <alignment horizontal="right" wrapText="1"/>
    </xf>
    <xf numFmtId="0" fontId="27" fillId="0" borderId="1" xfId="11" applyBorder="1"/>
    <xf numFmtId="0" fontId="27" fillId="0" borderId="1" xfId="11" applyBorder="1" applyAlignment="1">
      <alignment wrapText="1"/>
    </xf>
    <xf numFmtId="176" fontId="0" fillId="0" borderId="0" xfId="0" applyNumberFormat="1">
      <alignment vertical="center"/>
    </xf>
    <xf numFmtId="14" fontId="0" fillId="0" borderId="0" xfId="0" applyNumberFormat="1">
      <alignment vertical="center"/>
    </xf>
    <xf numFmtId="0" fontId="27" fillId="9" borderId="1" xfId="5" applyFill="1" applyBorder="1" applyAlignment="1">
      <alignment horizontal="center"/>
    </xf>
    <xf numFmtId="14" fontId="27" fillId="9" borderId="1" xfId="5" applyNumberFormat="1" applyFill="1" applyBorder="1" applyAlignment="1">
      <alignment horizontal="center"/>
    </xf>
    <xf numFmtId="0" fontId="27" fillId="0" borderId="1" xfId="5" applyBorder="1" applyAlignment="1">
      <alignment horizontal="right" wrapText="1"/>
    </xf>
    <xf numFmtId="14" fontId="27" fillId="0" borderId="1" xfId="5" applyNumberFormat="1" applyBorder="1" applyAlignment="1">
      <alignment horizontal="right" wrapText="1"/>
    </xf>
    <xf numFmtId="0" fontId="27" fillId="0" borderId="1" xfId="5" applyBorder="1"/>
    <xf numFmtId="0" fontId="27" fillId="0" borderId="1" xfId="5" applyBorder="1" applyAlignment="1">
      <alignment wrapText="1"/>
    </xf>
    <xf numFmtId="14" fontId="27" fillId="9" borderId="1" xfId="6" applyNumberFormat="1" applyFill="1" applyBorder="1" applyAlignment="1">
      <alignment horizontal="center"/>
    </xf>
    <xf numFmtId="14" fontId="27" fillId="0" borderId="1" xfId="6" applyNumberFormat="1" applyBorder="1" applyAlignment="1">
      <alignment horizontal="right" wrapText="1"/>
    </xf>
    <xf numFmtId="177" fontId="0" fillId="0" borderId="0" xfId="0" applyNumberFormat="1">
      <alignment vertical="center"/>
    </xf>
    <xf numFmtId="177" fontId="27" fillId="9" borderId="1" xfId="6" applyNumberFormat="1" applyFill="1" applyBorder="1" applyAlignment="1">
      <alignment horizontal="center"/>
    </xf>
    <xf numFmtId="177" fontId="27" fillId="0" borderId="1" xfId="6" applyNumberFormat="1" applyBorder="1" applyAlignment="1">
      <alignment horizontal="right" wrapText="1"/>
    </xf>
    <xf numFmtId="14" fontId="27" fillId="9" borderId="1" xfId="7" applyNumberFormat="1" applyFill="1" applyBorder="1" applyAlignment="1">
      <alignment horizontal="center"/>
    </xf>
    <xf numFmtId="14" fontId="27" fillId="0" borderId="1" xfId="7" applyNumberFormat="1" applyBorder="1" applyAlignment="1">
      <alignment horizontal="right" wrapText="1"/>
    </xf>
    <xf numFmtId="177" fontId="27" fillId="9" borderId="1" xfId="7" applyNumberFormat="1" applyFill="1" applyBorder="1" applyAlignment="1">
      <alignment horizontal="center"/>
    </xf>
    <xf numFmtId="177" fontId="27" fillId="0" borderId="1" xfId="7" applyNumberFormat="1" applyBorder="1" applyAlignment="1">
      <alignment horizontal="right" wrapText="1"/>
    </xf>
    <xf numFmtId="14" fontId="27" fillId="9" borderId="1" xfId="8" applyNumberFormat="1" applyFill="1" applyBorder="1" applyAlignment="1">
      <alignment horizontal="center"/>
    </xf>
    <xf numFmtId="14" fontId="27" fillId="0" borderId="1" xfId="8" applyNumberFormat="1" applyBorder="1" applyAlignment="1">
      <alignment horizontal="right" wrapText="1"/>
    </xf>
    <xf numFmtId="177" fontId="27" fillId="9" borderId="1" xfId="8" applyNumberFormat="1" applyFill="1" applyBorder="1" applyAlignment="1">
      <alignment horizontal="center"/>
    </xf>
    <xf numFmtId="177" fontId="27" fillId="0" borderId="1" xfId="8" applyNumberFormat="1" applyBorder="1" applyAlignment="1">
      <alignment horizontal="right" wrapText="1"/>
    </xf>
    <xf numFmtId="0" fontId="27" fillId="9" borderId="1" xfId="9" applyFill="1" applyBorder="1" applyAlignment="1">
      <alignment horizontal="center"/>
    </xf>
    <xf numFmtId="14" fontId="27" fillId="9" borderId="1" xfId="9" applyNumberFormat="1" applyFill="1" applyBorder="1" applyAlignment="1">
      <alignment horizontal="center"/>
    </xf>
    <xf numFmtId="0" fontId="27" fillId="0" borderId="1" xfId="9" applyBorder="1" applyAlignment="1">
      <alignment horizontal="right" wrapText="1"/>
    </xf>
    <xf numFmtId="14" fontId="27" fillId="0" borderId="1" xfId="9" applyNumberFormat="1" applyBorder="1" applyAlignment="1">
      <alignment horizontal="right" wrapText="1"/>
    </xf>
    <xf numFmtId="0" fontId="27" fillId="0" borderId="1" xfId="9" applyBorder="1"/>
    <xf numFmtId="0" fontId="27" fillId="0" borderId="1" xfId="9" applyBorder="1" applyAlignment="1">
      <alignment wrapText="1"/>
    </xf>
    <xf numFmtId="14" fontId="27" fillId="0" borderId="1" xfId="9" applyNumberFormat="1" applyBorder="1"/>
    <xf numFmtId="14" fontId="27" fillId="9" borderId="1" xfId="10" applyNumberFormat="1" applyFill="1" applyBorder="1" applyAlignment="1">
      <alignment horizontal="center"/>
    </xf>
    <xf numFmtId="14" fontId="27" fillId="0" borderId="1" xfId="10" applyNumberFormat="1" applyBorder="1" applyAlignment="1">
      <alignment horizontal="right" wrapText="1"/>
    </xf>
    <xf numFmtId="177" fontId="27" fillId="9" borderId="1" xfId="10" applyNumberFormat="1" applyFill="1" applyBorder="1" applyAlignment="1">
      <alignment horizontal="center"/>
    </xf>
    <xf numFmtId="177" fontId="27" fillId="0" borderId="1" xfId="10" applyNumberFormat="1" applyBorder="1" applyAlignment="1">
      <alignment horizontal="right" wrapText="1"/>
    </xf>
    <xf numFmtId="177" fontId="27" fillId="0" borderId="1" xfId="10" applyNumberFormat="1" applyBorder="1"/>
    <xf numFmtId="14" fontId="27" fillId="9" borderId="1" xfId="11" applyNumberFormat="1" applyFill="1" applyBorder="1" applyAlignment="1">
      <alignment horizontal="center"/>
    </xf>
    <xf numFmtId="14" fontId="27" fillId="0" borderId="1" xfId="11" applyNumberFormat="1" applyBorder="1" applyAlignment="1">
      <alignment horizontal="right" wrapText="1"/>
    </xf>
    <xf numFmtId="177" fontId="27" fillId="9" borderId="1" xfId="11" applyNumberFormat="1" applyFill="1" applyBorder="1" applyAlignment="1">
      <alignment horizontal="center"/>
    </xf>
    <xf numFmtId="177" fontId="27" fillId="0" borderId="1" xfId="11" applyNumberFormat="1" applyBorder="1" applyAlignment="1">
      <alignment horizontal="right" wrapText="1"/>
    </xf>
    <xf numFmtId="0" fontId="0" fillId="0" borderId="44" xfId="0" applyBorder="1" applyAlignment="1">
      <alignment horizontal="left" vertical="center" wrapText="1"/>
    </xf>
    <xf numFmtId="0" fontId="4" fillId="3" borderId="0" xfId="0" applyFont="1" applyFill="1" applyAlignment="1">
      <alignment horizontal="left" vertical="center"/>
    </xf>
    <xf numFmtId="0" fontId="14" fillId="3" borderId="0" xfId="0" applyFont="1" applyFill="1" applyAlignment="1">
      <alignment horizontal="left" vertical="center"/>
    </xf>
    <xf numFmtId="0" fontId="0" fillId="3" borderId="0" xfId="0" applyFill="1" applyAlignment="1">
      <alignment horizontal="left" vertical="center"/>
    </xf>
    <xf numFmtId="0" fontId="21" fillId="0" borderId="0" xfId="0" applyFont="1">
      <alignment vertical="center"/>
    </xf>
    <xf numFmtId="0" fontId="19" fillId="0" borderId="0" xfId="0" applyFont="1">
      <alignment vertical="center"/>
    </xf>
    <xf numFmtId="0" fontId="17" fillId="3" borderId="0" xfId="0" applyFont="1" applyFill="1" applyAlignment="1">
      <alignment horizontal="left" vertical="center"/>
    </xf>
    <xf numFmtId="0" fontId="0" fillId="0" borderId="0" xfId="0" quotePrefix="1" applyAlignment="1">
      <alignment horizontal="left" vertical="center" wrapText="1"/>
    </xf>
    <xf numFmtId="0" fontId="0" fillId="0" borderId="44" xfId="0" quotePrefix="1" applyBorder="1" applyAlignment="1">
      <alignment horizontal="left" vertical="center" wrapText="1"/>
    </xf>
    <xf numFmtId="0" fontId="0" fillId="0" borderId="15" xfId="0" applyBorder="1" applyAlignment="1">
      <alignment horizontal="left" vertical="center" wrapText="1"/>
    </xf>
    <xf numFmtId="0" fontId="0" fillId="0" borderId="43" xfId="0" applyBorder="1" applyAlignment="1">
      <alignment horizontal="left" vertical="center" wrapText="1"/>
    </xf>
    <xf numFmtId="0" fontId="0" fillId="10" borderId="18" xfId="0" applyFill="1" applyBorder="1" applyAlignment="1">
      <alignment horizontal="center" vertical="center"/>
    </xf>
    <xf numFmtId="0" fontId="0" fillId="10" borderId="15" xfId="0" applyFill="1" applyBorder="1" applyAlignment="1">
      <alignment horizontal="center" vertical="center"/>
    </xf>
    <xf numFmtId="0" fontId="0" fillId="3" borderId="18" xfId="0" applyFill="1" applyBorder="1" applyAlignment="1">
      <alignment horizontal="left" vertical="center" wrapText="1"/>
    </xf>
    <xf numFmtId="0" fontId="0" fillId="3" borderId="42" xfId="0" applyFill="1" applyBorder="1" applyAlignment="1">
      <alignment horizontal="left" vertical="center" wrapText="1"/>
    </xf>
    <xf numFmtId="0" fontId="0" fillId="3" borderId="15" xfId="0" applyFill="1" applyBorder="1" applyAlignment="1">
      <alignment horizontal="left" vertical="center" wrapText="1"/>
    </xf>
    <xf numFmtId="0" fontId="0" fillId="3" borderId="43" xfId="0" applyFill="1" applyBorder="1" applyAlignment="1">
      <alignment horizontal="left" vertical="center" wrapText="1"/>
    </xf>
    <xf numFmtId="0" fontId="0" fillId="3" borderId="19" xfId="0" applyFill="1" applyBorder="1" applyAlignment="1">
      <alignment horizontal="left" vertical="center" wrapText="1"/>
    </xf>
    <xf numFmtId="0" fontId="0" fillId="3" borderId="16" xfId="0" applyFill="1" applyBorder="1" applyAlignment="1">
      <alignment horizontal="left" vertical="center" wrapText="1"/>
    </xf>
    <xf numFmtId="0" fontId="0" fillId="0" borderId="17" xfId="0" applyBorder="1" applyAlignment="1">
      <alignment horizontal="left" vertical="center" wrapText="1"/>
    </xf>
    <xf numFmtId="0" fontId="0" fillId="0" borderId="17" xfId="0" quotePrefix="1" applyBorder="1" applyAlignment="1">
      <alignment horizontal="left" vertical="center" wrapText="1"/>
    </xf>
    <xf numFmtId="0" fontId="0" fillId="0" borderId="16" xfId="0" applyBorder="1" applyAlignment="1">
      <alignment horizontal="left" vertical="center" wrapText="1"/>
    </xf>
    <xf numFmtId="0" fontId="0" fillId="10" borderId="19" xfId="0" applyFill="1" applyBorder="1" applyAlignment="1">
      <alignment horizontal="left" vertical="center"/>
    </xf>
    <xf numFmtId="0" fontId="0" fillId="10" borderId="42" xfId="0" applyFill="1" applyBorder="1" applyAlignment="1">
      <alignment horizontal="center" vertical="center"/>
    </xf>
    <xf numFmtId="0" fontId="0" fillId="10" borderId="16" xfId="0" applyFill="1" applyBorder="1" applyAlignment="1">
      <alignment horizontal="center" vertical="center"/>
    </xf>
    <xf numFmtId="0" fontId="0" fillId="10" borderId="43" xfId="0" applyFill="1" applyBorder="1" applyAlignment="1">
      <alignment horizontal="center" vertical="center"/>
    </xf>
    <xf numFmtId="0" fontId="4" fillId="3" borderId="17" xfId="0" applyFont="1" applyFill="1" applyBorder="1" applyAlignment="1">
      <alignment horizontal="left" vertical="center"/>
    </xf>
    <xf numFmtId="0" fontId="14" fillId="3" borderId="44" xfId="0" applyFont="1" applyFill="1" applyBorder="1" applyAlignment="1">
      <alignment horizontal="left" vertical="center"/>
    </xf>
    <xf numFmtId="0" fontId="0" fillId="3" borderId="17" xfId="0" applyFill="1" applyBorder="1" applyAlignment="1">
      <alignment horizontal="left" vertical="center"/>
    </xf>
    <xf numFmtId="0" fontId="0" fillId="3" borderId="44" xfId="0" applyFill="1" applyBorder="1" applyAlignment="1">
      <alignment horizontal="left" vertical="center"/>
    </xf>
    <xf numFmtId="0" fontId="0" fillId="7" borderId="19" xfId="0" applyFill="1" applyBorder="1" applyAlignment="1">
      <alignment horizontal="left" vertical="center"/>
    </xf>
    <xf numFmtId="0" fontId="0" fillId="7" borderId="17" xfId="0" applyFill="1" applyBorder="1" applyAlignment="1">
      <alignment horizontal="left" vertical="center"/>
    </xf>
    <xf numFmtId="0" fontId="0" fillId="7" borderId="17" xfId="0" applyFill="1" applyBorder="1" applyAlignment="1">
      <alignment horizontal="left" vertical="center" wrapText="1"/>
    </xf>
    <xf numFmtId="0" fontId="0" fillId="7" borderId="17" xfId="0" applyFill="1" applyBorder="1">
      <alignment vertical="center"/>
    </xf>
    <xf numFmtId="0" fontId="0" fillId="7" borderId="16" xfId="0" applyFill="1" applyBorder="1" applyAlignment="1">
      <alignment horizontal="left" vertical="center"/>
    </xf>
    <xf numFmtId="0" fontId="0" fillId="7" borderId="18" xfId="0" applyFill="1" applyBorder="1" applyAlignment="1">
      <alignment horizontal="left" vertical="center"/>
    </xf>
    <xf numFmtId="0" fontId="0" fillId="7" borderId="0" xfId="0" applyFill="1" applyAlignment="1">
      <alignment horizontal="left" vertical="center"/>
    </xf>
    <xf numFmtId="0" fontId="0" fillId="7" borderId="0" xfId="0" applyFill="1" applyAlignment="1">
      <alignment horizontal="left" vertical="center" wrapText="1"/>
    </xf>
    <xf numFmtId="0" fontId="0" fillId="7" borderId="0" xfId="0" applyFill="1">
      <alignment vertical="center"/>
    </xf>
    <xf numFmtId="0" fontId="0" fillId="7" borderId="15" xfId="0" applyFill="1" applyBorder="1" applyAlignment="1">
      <alignment horizontal="left" vertical="center"/>
    </xf>
    <xf numFmtId="0" fontId="0" fillId="7" borderId="42" xfId="0" applyFill="1" applyBorder="1" applyAlignment="1">
      <alignment horizontal="left" vertical="center"/>
    </xf>
    <xf numFmtId="0" fontId="0" fillId="7" borderId="44" xfId="0" applyFill="1" applyBorder="1" applyAlignment="1">
      <alignment horizontal="left" vertical="center"/>
    </xf>
    <xf numFmtId="0" fontId="0" fillId="7" borderId="44" xfId="0" applyFill="1" applyBorder="1" applyAlignment="1">
      <alignment horizontal="left" vertical="center" wrapText="1"/>
    </xf>
    <xf numFmtId="0" fontId="0" fillId="7" borderId="44" xfId="0" applyFill="1" applyBorder="1">
      <alignment vertical="center"/>
    </xf>
    <xf numFmtId="0" fontId="0" fillId="7" borderId="43" xfId="0" applyFill="1" applyBorder="1" applyAlignment="1">
      <alignment horizontal="left" vertical="center"/>
    </xf>
    <xf numFmtId="0" fontId="0" fillId="0" borderId="0" xfId="0" applyAlignment="1"/>
    <xf numFmtId="49" fontId="29" fillId="11" borderId="45" xfId="0" applyNumberFormat="1" applyFont="1" applyFill="1" applyBorder="1" applyAlignment="1">
      <alignment horizontal="left" vertical="top"/>
    </xf>
    <xf numFmtId="0" fontId="29" fillId="11" borderId="46" xfId="0" applyFont="1" applyFill="1" applyBorder="1" applyAlignment="1">
      <alignment horizontal="left" vertical="top" wrapText="1"/>
    </xf>
    <xf numFmtId="0" fontId="29" fillId="11" borderId="47" xfId="0" applyFont="1" applyFill="1" applyBorder="1" applyAlignment="1">
      <alignment horizontal="left" vertical="top" wrapText="1"/>
    </xf>
    <xf numFmtId="0" fontId="0" fillId="0" borderId="48" xfId="0" applyBorder="1" applyAlignment="1">
      <alignment horizontal="center" vertical="center"/>
    </xf>
    <xf numFmtId="49" fontId="30" fillId="11" borderId="49" xfId="0" applyNumberFormat="1" applyFont="1" applyFill="1" applyBorder="1" applyAlignment="1">
      <alignment horizontal="left" vertical="top"/>
    </xf>
    <xf numFmtId="0" fontId="30" fillId="11" borderId="50" xfId="0" applyFont="1" applyFill="1" applyBorder="1" applyAlignment="1">
      <alignment horizontal="left" vertical="top" wrapText="1"/>
    </xf>
    <xf numFmtId="0" fontId="30" fillId="11" borderId="51" xfId="0" applyFont="1" applyFill="1" applyBorder="1" applyAlignment="1">
      <alignment horizontal="left" vertical="top" wrapText="1"/>
    </xf>
    <xf numFmtId="0" fontId="0" fillId="0" borderId="52" xfId="0" applyBorder="1" applyAlignment="1">
      <alignment horizontal="center" vertical="center"/>
    </xf>
    <xf numFmtId="49" fontId="30" fillId="11" borderId="53" xfId="0" applyNumberFormat="1" applyFont="1" applyFill="1" applyBorder="1" applyAlignment="1">
      <alignment horizontal="left" vertical="top"/>
    </xf>
    <xf numFmtId="0" fontId="30" fillId="11" borderId="54" xfId="0" applyFont="1" applyFill="1" applyBorder="1" applyAlignment="1">
      <alignment horizontal="left" vertical="top" wrapText="1"/>
    </xf>
    <xf numFmtId="0" fontId="30" fillId="11" borderId="55" xfId="0" applyFont="1" applyFill="1" applyBorder="1" applyAlignment="1">
      <alignment horizontal="left" vertical="top" wrapText="1"/>
    </xf>
    <xf numFmtId="0" fontId="0" fillId="0" borderId="56" xfId="0" applyBorder="1" applyAlignment="1">
      <alignment horizontal="center" vertical="center"/>
    </xf>
    <xf numFmtId="49" fontId="2" fillId="0" borderId="0" xfId="0" applyNumberFormat="1" applyFont="1">
      <alignment vertical="center"/>
    </xf>
    <xf numFmtId="0" fontId="24" fillId="0" borderId="0" xfId="0" applyFont="1">
      <alignment vertical="center"/>
    </xf>
    <xf numFmtId="49" fontId="27" fillId="9" borderId="1" xfId="3" applyNumberFormat="1" applyFill="1" applyBorder="1" applyAlignment="1">
      <alignment horizontal="center"/>
    </xf>
    <xf numFmtId="49" fontId="27" fillId="0" borderId="1" xfId="3" applyNumberFormat="1" applyBorder="1" applyAlignment="1">
      <alignment horizontal="left" wrapText="1"/>
    </xf>
    <xf numFmtId="49" fontId="27" fillId="0" borderId="1" xfId="3" applyNumberFormat="1" applyBorder="1" applyAlignment="1">
      <alignment wrapText="1"/>
    </xf>
    <xf numFmtId="176" fontId="0" fillId="2" borderId="0" xfId="0" applyNumberFormat="1" applyFill="1">
      <alignment vertical="center"/>
    </xf>
    <xf numFmtId="14" fontId="0" fillId="2" borderId="0" xfId="0" applyNumberFormat="1" applyFill="1">
      <alignment vertical="center"/>
    </xf>
    <xf numFmtId="0" fontId="0" fillId="2" borderId="0" xfId="0" applyFill="1">
      <alignment vertical="center"/>
    </xf>
    <xf numFmtId="0" fontId="0" fillId="2" borderId="0" xfId="0" applyFill="1" applyAlignment="1">
      <alignment vertical="center" wrapText="1"/>
    </xf>
    <xf numFmtId="0" fontId="17" fillId="0" borderId="1" xfId="0" applyFont="1" applyBorder="1" applyAlignment="1">
      <alignment horizontal="left" vertical="center" wrapText="1"/>
    </xf>
    <xf numFmtId="0" fontId="28" fillId="0" borderId="0" xfId="0" applyFont="1" applyAlignment="1">
      <alignment horizontal="center" vertical="center"/>
    </xf>
    <xf numFmtId="0" fontId="2" fillId="0" borderId="0" xfId="0" applyFont="1" applyAlignment="1">
      <alignment horizontal="center" vertical="center"/>
    </xf>
    <xf numFmtId="0" fontId="23" fillId="0" borderId="0" xfId="0" applyFont="1" applyAlignment="1">
      <alignment horizontal="center" vertical="center"/>
    </xf>
    <xf numFmtId="0" fontId="0" fillId="0" borderId="0" xfId="0" applyAlignment="1">
      <alignment horizontal="center" vertical="center"/>
    </xf>
    <xf numFmtId="14" fontId="23" fillId="0" borderId="0" xfId="0" applyNumberFormat="1" applyFont="1" applyAlignment="1">
      <alignment horizontal="center" vertical="center"/>
    </xf>
  </cellXfs>
  <cellStyles count="12">
    <cellStyle name="ハイパーリンク" xfId="1" builtinId="8"/>
    <cellStyle name="標準" xfId="0" builtinId="0"/>
    <cellStyle name="標準_CARE_SITE" xfId="3" xr:uid="{BE1CF9B9-514D-4132-8CC5-B5E4A40E1E63}"/>
    <cellStyle name="標準_CONDITION_OCCURRENCE" xfId="9" xr:uid="{9BB47393-C5B5-48C9-926B-4FB84B3799EB}"/>
    <cellStyle name="標準_DEATH" xfId="8" xr:uid="{D395FFB7-1AFB-4BA3-8669-19F65EE93585}"/>
    <cellStyle name="標準_LOCATION" xfId="2" xr:uid="{EB0D6FE0-9F03-41F5-B8C5-0871433ED3A4}"/>
    <cellStyle name="標準_MEASUREMENT" xfId="10" xr:uid="{4D8CE44F-1515-46F1-8002-5BEC0EBDC5D1}"/>
    <cellStyle name="標準_PERSON" xfId="5" xr:uid="{609D9F74-4866-444E-B020-7B7C36E663C4}"/>
    <cellStyle name="標準_PROVIDER" xfId="4" xr:uid="{1A7C260B-6EED-4B16-BE0D-FCE47D97638C}"/>
    <cellStyle name="標準_SPECIMEN" xfId="11" xr:uid="{60CEB0D3-B90E-4460-AFA2-54EC2FE3641D}"/>
    <cellStyle name="標準_VISIT_DETAIL" xfId="7" xr:uid="{45D25B18-CE0B-4892-98D7-112DD3F6ED46}"/>
    <cellStyle name="標準_VISIT_OCCURENCE" xfId="6" xr:uid="{1C6B475A-6616-4BB1-AE85-24DFA04E9E07}"/>
  </cellStyles>
  <dxfs count="0"/>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styles" Target="style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xdr:col>
      <xdr:colOff>0</xdr:colOff>
      <xdr:row>27</xdr:row>
      <xdr:rowOff>0</xdr:rowOff>
    </xdr:from>
    <xdr:to>
      <xdr:col>4</xdr:col>
      <xdr:colOff>0</xdr:colOff>
      <xdr:row>27</xdr:row>
      <xdr:rowOff>205740</xdr:rowOff>
    </xdr:to>
    <xdr:sp macro="" textlink="">
      <xdr:nvSpPr>
        <xdr:cNvPr id="3" name="正方形/長方形 2">
          <a:extLst>
            <a:ext uri="{FF2B5EF4-FFF2-40B4-BE49-F238E27FC236}">
              <a16:creationId xmlns:a16="http://schemas.microsoft.com/office/drawing/2014/main" id="{C9767981-D1E0-4684-B1DF-E9004542BDB1}"/>
            </a:ext>
          </a:extLst>
        </xdr:cNvPr>
        <xdr:cNvSpPr/>
      </xdr:nvSpPr>
      <xdr:spPr>
        <a:xfrm>
          <a:off x="670560" y="1828800"/>
          <a:ext cx="1341120" cy="205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PatientIdentification</a:t>
          </a:r>
          <a:endParaRPr kumimoji="1" lang="ja-JP" altLang="en-US" sz="1000"/>
        </a:p>
      </xdr:txBody>
    </xdr:sp>
    <xdr:clientData/>
  </xdr:twoCellAnchor>
  <xdr:twoCellAnchor>
    <xdr:from>
      <xdr:col>2</xdr:col>
      <xdr:colOff>0</xdr:colOff>
      <xdr:row>28</xdr:row>
      <xdr:rowOff>0</xdr:rowOff>
    </xdr:from>
    <xdr:to>
      <xdr:col>4</xdr:col>
      <xdr:colOff>0</xdr:colOff>
      <xdr:row>28</xdr:row>
      <xdr:rowOff>205740</xdr:rowOff>
    </xdr:to>
    <xdr:sp macro="" textlink="">
      <xdr:nvSpPr>
        <xdr:cNvPr id="4" name="正方形/長方形 3">
          <a:extLst>
            <a:ext uri="{FF2B5EF4-FFF2-40B4-BE49-F238E27FC236}">
              <a16:creationId xmlns:a16="http://schemas.microsoft.com/office/drawing/2014/main" id="{936B7B47-F876-4B96-9FED-8B85DB08527C}"/>
            </a:ext>
          </a:extLst>
        </xdr:cNvPr>
        <xdr:cNvSpPr/>
      </xdr:nvSpPr>
      <xdr:spPr>
        <a:xfrm>
          <a:off x="670560" y="2057400"/>
          <a:ext cx="1341120" cy="205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PatientIAddress</a:t>
          </a:r>
          <a:endParaRPr kumimoji="1" lang="ja-JP" altLang="en-US" sz="1000"/>
        </a:p>
      </xdr:txBody>
    </xdr:sp>
    <xdr:clientData/>
  </xdr:twoCellAnchor>
  <xdr:twoCellAnchor>
    <xdr:from>
      <xdr:col>2</xdr:col>
      <xdr:colOff>0</xdr:colOff>
      <xdr:row>36</xdr:row>
      <xdr:rowOff>0</xdr:rowOff>
    </xdr:from>
    <xdr:to>
      <xdr:col>4</xdr:col>
      <xdr:colOff>0</xdr:colOff>
      <xdr:row>36</xdr:row>
      <xdr:rowOff>205740</xdr:rowOff>
    </xdr:to>
    <xdr:sp macro="" textlink="">
      <xdr:nvSpPr>
        <xdr:cNvPr id="6" name="正方形/長方形 5">
          <a:extLst>
            <a:ext uri="{FF2B5EF4-FFF2-40B4-BE49-F238E27FC236}">
              <a16:creationId xmlns:a16="http://schemas.microsoft.com/office/drawing/2014/main" id="{79E9F54F-A0AE-4703-8A00-D1EB147ABADD}"/>
            </a:ext>
          </a:extLst>
        </xdr:cNvPr>
        <xdr:cNvSpPr/>
      </xdr:nvSpPr>
      <xdr:spPr>
        <a:xfrm>
          <a:off x="670560" y="2514600"/>
          <a:ext cx="1341120" cy="205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PatientIVisit</a:t>
          </a:r>
          <a:endParaRPr kumimoji="1" lang="ja-JP" altLang="en-US" sz="1000"/>
        </a:p>
      </xdr:txBody>
    </xdr:sp>
    <xdr:clientData/>
  </xdr:twoCellAnchor>
  <xdr:twoCellAnchor>
    <xdr:from>
      <xdr:col>6</xdr:col>
      <xdr:colOff>0</xdr:colOff>
      <xdr:row>36</xdr:row>
      <xdr:rowOff>0</xdr:rowOff>
    </xdr:from>
    <xdr:to>
      <xdr:col>8</xdr:col>
      <xdr:colOff>320040</xdr:colOff>
      <xdr:row>36</xdr:row>
      <xdr:rowOff>205740</xdr:rowOff>
    </xdr:to>
    <xdr:sp macro="" textlink="">
      <xdr:nvSpPr>
        <xdr:cNvPr id="7" name="正方形/長方形 6">
          <a:extLst>
            <a:ext uri="{FF2B5EF4-FFF2-40B4-BE49-F238E27FC236}">
              <a16:creationId xmlns:a16="http://schemas.microsoft.com/office/drawing/2014/main" id="{A14D7F2A-A2A6-4035-8FFF-F0F84B9E9874}"/>
            </a:ext>
          </a:extLst>
        </xdr:cNvPr>
        <xdr:cNvSpPr/>
      </xdr:nvSpPr>
      <xdr:spPr>
        <a:xfrm>
          <a:off x="3352800" y="2514600"/>
          <a:ext cx="1661160" cy="205740"/>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solidFill>
                <a:srgbClr val="0000CC"/>
              </a:solidFill>
            </a:rPr>
            <a:t>visit_occurrence_s</a:t>
          </a:r>
          <a:endParaRPr kumimoji="1" lang="ja-JP" altLang="en-US" sz="1000">
            <a:solidFill>
              <a:srgbClr val="0000CC"/>
            </a:solidFill>
          </a:endParaRPr>
        </a:p>
      </xdr:txBody>
    </xdr:sp>
    <xdr:clientData/>
  </xdr:twoCellAnchor>
  <xdr:twoCellAnchor>
    <xdr:from>
      <xdr:col>10</xdr:col>
      <xdr:colOff>0</xdr:colOff>
      <xdr:row>27</xdr:row>
      <xdr:rowOff>0</xdr:rowOff>
    </xdr:from>
    <xdr:to>
      <xdr:col>12</xdr:col>
      <xdr:colOff>320040</xdr:colOff>
      <xdr:row>27</xdr:row>
      <xdr:rowOff>205740</xdr:rowOff>
    </xdr:to>
    <xdr:sp macro="" textlink="">
      <xdr:nvSpPr>
        <xdr:cNvPr id="8" name="正方形/長方形 7">
          <a:extLst>
            <a:ext uri="{FF2B5EF4-FFF2-40B4-BE49-F238E27FC236}">
              <a16:creationId xmlns:a16="http://schemas.microsoft.com/office/drawing/2014/main" id="{22DFD681-A133-47C6-9646-CE92CDE5FF75}"/>
            </a:ext>
          </a:extLst>
        </xdr:cNvPr>
        <xdr:cNvSpPr/>
      </xdr:nvSpPr>
      <xdr:spPr>
        <a:xfrm>
          <a:off x="6035040" y="1828800"/>
          <a:ext cx="1661160" cy="20574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person_m</a:t>
          </a:r>
          <a:endParaRPr kumimoji="1" lang="ja-JP" altLang="en-US" sz="1000"/>
        </a:p>
      </xdr:txBody>
    </xdr:sp>
    <xdr:clientData/>
  </xdr:twoCellAnchor>
  <xdr:twoCellAnchor>
    <xdr:from>
      <xdr:col>10</xdr:col>
      <xdr:colOff>0</xdr:colOff>
      <xdr:row>36</xdr:row>
      <xdr:rowOff>0</xdr:rowOff>
    </xdr:from>
    <xdr:to>
      <xdr:col>12</xdr:col>
      <xdr:colOff>320040</xdr:colOff>
      <xdr:row>36</xdr:row>
      <xdr:rowOff>205740</xdr:rowOff>
    </xdr:to>
    <xdr:sp macro="" textlink="">
      <xdr:nvSpPr>
        <xdr:cNvPr id="10" name="正方形/長方形 9">
          <a:extLst>
            <a:ext uri="{FF2B5EF4-FFF2-40B4-BE49-F238E27FC236}">
              <a16:creationId xmlns:a16="http://schemas.microsoft.com/office/drawing/2014/main" id="{C3E558AF-9650-4C44-B9BF-A843FDFB3F1A}"/>
            </a:ext>
          </a:extLst>
        </xdr:cNvPr>
        <xdr:cNvSpPr/>
      </xdr:nvSpPr>
      <xdr:spPr>
        <a:xfrm>
          <a:off x="6035040" y="2514600"/>
          <a:ext cx="1661160" cy="20574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visit_occurrence_m</a:t>
          </a:r>
          <a:endParaRPr kumimoji="1" lang="ja-JP" altLang="en-US" sz="1000"/>
        </a:p>
      </xdr:txBody>
    </xdr:sp>
    <xdr:clientData/>
  </xdr:twoCellAnchor>
  <xdr:twoCellAnchor>
    <xdr:from>
      <xdr:col>14</xdr:col>
      <xdr:colOff>0</xdr:colOff>
      <xdr:row>27</xdr:row>
      <xdr:rowOff>0</xdr:rowOff>
    </xdr:from>
    <xdr:to>
      <xdr:col>16</xdr:col>
      <xdr:colOff>320040</xdr:colOff>
      <xdr:row>27</xdr:row>
      <xdr:rowOff>205740</xdr:rowOff>
    </xdr:to>
    <xdr:sp macro="" textlink="">
      <xdr:nvSpPr>
        <xdr:cNvPr id="11" name="正方形/長方形 10">
          <a:extLst>
            <a:ext uri="{FF2B5EF4-FFF2-40B4-BE49-F238E27FC236}">
              <a16:creationId xmlns:a16="http://schemas.microsoft.com/office/drawing/2014/main" id="{D28DE62B-13AA-4601-8A47-C234FAA00356}"/>
            </a:ext>
          </a:extLst>
        </xdr:cNvPr>
        <xdr:cNvSpPr/>
      </xdr:nvSpPr>
      <xdr:spPr>
        <a:xfrm>
          <a:off x="8717280" y="1828800"/>
          <a:ext cx="1661160" cy="20574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person_f</a:t>
          </a:r>
          <a:endParaRPr kumimoji="1" lang="ja-JP" altLang="en-US" sz="1000"/>
        </a:p>
      </xdr:txBody>
    </xdr:sp>
    <xdr:clientData/>
  </xdr:twoCellAnchor>
  <xdr:twoCellAnchor>
    <xdr:from>
      <xdr:col>14</xdr:col>
      <xdr:colOff>0</xdr:colOff>
      <xdr:row>28</xdr:row>
      <xdr:rowOff>0</xdr:rowOff>
    </xdr:from>
    <xdr:to>
      <xdr:col>16</xdr:col>
      <xdr:colOff>320040</xdr:colOff>
      <xdr:row>28</xdr:row>
      <xdr:rowOff>205740</xdr:rowOff>
    </xdr:to>
    <xdr:sp macro="" textlink="">
      <xdr:nvSpPr>
        <xdr:cNvPr id="12" name="正方形/長方形 11">
          <a:extLst>
            <a:ext uri="{FF2B5EF4-FFF2-40B4-BE49-F238E27FC236}">
              <a16:creationId xmlns:a16="http://schemas.microsoft.com/office/drawing/2014/main" id="{FCD46C8B-E1D8-4752-8D7D-630B8AE3D906}"/>
            </a:ext>
          </a:extLst>
        </xdr:cNvPr>
        <xdr:cNvSpPr/>
      </xdr:nvSpPr>
      <xdr:spPr>
        <a:xfrm>
          <a:off x="8717280" y="2057400"/>
          <a:ext cx="1661160" cy="205740"/>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person_e</a:t>
          </a:r>
          <a:endParaRPr kumimoji="1" lang="ja-JP" altLang="en-US" sz="1000"/>
        </a:p>
      </xdr:txBody>
    </xdr:sp>
    <xdr:clientData/>
  </xdr:twoCellAnchor>
  <xdr:twoCellAnchor>
    <xdr:from>
      <xdr:col>18</xdr:col>
      <xdr:colOff>0</xdr:colOff>
      <xdr:row>27</xdr:row>
      <xdr:rowOff>0</xdr:rowOff>
    </xdr:from>
    <xdr:to>
      <xdr:col>20</xdr:col>
      <xdr:colOff>320040</xdr:colOff>
      <xdr:row>27</xdr:row>
      <xdr:rowOff>205740</xdr:rowOff>
    </xdr:to>
    <xdr:sp macro="" textlink="">
      <xdr:nvSpPr>
        <xdr:cNvPr id="13" name="正方形/長方形 12">
          <a:extLst>
            <a:ext uri="{FF2B5EF4-FFF2-40B4-BE49-F238E27FC236}">
              <a16:creationId xmlns:a16="http://schemas.microsoft.com/office/drawing/2014/main" id="{4D5EF885-568B-4D42-8BE0-8505C292847E}"/>
            </a:ext>
          </a:extLst>
        </xdr:cNvPr>
        <xdr:cNvSpPr/>
      </xdr:nvSpPr>
      <xdr:spPr>
        <a:xfrm>
          <a:off x="11399520" y="1828800"/>
          <a:ext cx="1661160" cy="205740"/>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solidFill>
                <a:srgbClr val="0000CC"/>
              </a:solidFill>
            </a:rPr>
            <a:t>person</a:t>
          </a:r>
          <a:endParaRPr kumimoji="1" lang="ja-JP" altLang="en-US" sz="1000">
            <a:solidFill>
              <a:srgbClr val="0000CC"/>
            </a:solidFill>
          </a:endParaRPr>
        </a:p>
      </xdr:txBody>
    </xdr:sp>
    <xdr:clientData/>
  </xdr:twoCellAnchor>
  <xdr:twoCellAnchor>
    <xdr:from>
      <xdr:col>14</xdr:col>
      <xdr:colOff>0</xdr:colOff>
      <xdr:row>36</xdr:row>
      <xdr:rowOff>0</xdr:rowOff>
    </xdr:from>
    <xdr:to>
      <xdr:col>16</xdr:col>
      <xdr:colOff>320040</xdr:colOff>
      <xdr:row>36</xdr:row>
      <xdr:rowOff>205740</xdr:rowOff>
    </xdr:to>
    <xdr:sp macro="" textlink="">
      <xdr:nvSpPr>
        <xdr:cNvPr id="14" name="正方形/長方形 13">
          <a:extLst>
            <a:ext uri="{FF2B5EF4-FFF2-40B4-BE49-F238E27FC236}">
              <a16:creationId xmlns:a16="http://schemas.microsoft.com/office/drawing/2014/main" id="{8F22A970-5992-4A71-A8E3-825828C76DEF}"/>
            </a:ext>
          </a:extLst>
        </xdr:cNvPr>
        <xdr:cNvSpPr/>
      </xdr:nvSpPr>
      <xdr:spPr>
        <a:xfrm>
          <a:off x="8717280" y="2743200"/>
          <a:ext cx="1661160" cy="20574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solidFill>
                <a:schemeClr val="lt1"/>
              </a:solidFill>
              <a:effectLst/>
              <a:latin typeface="+mn-lt"/>
              <a:ea typeface="+mn-ea"/>
              <a:cs typeface="+mn-cs"/>
            </a:rPr>
            <a:t>visit_occurrence</a:t>
          </a:r>
          <a:r>
            <a:rPr kumimoji="1" lang="en-US" altLang="ja-JP" sz="1000"/>
            <a:t>_f</a:t>
          </a:r>
          <a:endParaRPr kumimoji="1" lang="ja-JP" altLang="en-US" sz="1000"/>
        </a:p>
      </xdr:txBody>
    </xdr:sp>
    <xdr:clientData/>
  </xdr:twoCellAnchor>
  <xdr:twoCellAnchor>
    <xdr:from>
      <xdr:col>14</xdr:col>
      <xdr:colOff>0</xdr:colOff>
      <xdr:row>37</xdr:row>
      <xdr:rowOff>0</xdr:rowOff>
    </xdr:from>
    <xdr:to>
      <xdr:col>16</xdr:col>
      <xdr:colOff>320040</xdr:colOff>
      <xdr:row>37</xdr:row>
      <xdr:rowOff>205740</xdr:rowOff>
    </xdr:to>
    <xdr:sp macro="" textlink="">
      <xdr:nvSpPr>
        <xdr:cNvPr id="15" name="正方形/長方形 14">
          <a:extLst>
            <a:ext uri="{FF2B5EF4-FFF2-40B4-BE49-F238E27FC236}">
              <a16:creationId xmlns:a16="http://schemas.microsoft.com/office/drawing/2014/main" id="{B852F825-F78F-4304-92BD-8444668EC168}"/>
            </a:ext>
          </a:extLst>
        </xdr:cNvPr>
        <xdr:cNvSpPr/>
      </xdr:nvSpPr>
      <xdr:spPr>
        <a:xfrm>
          <a:off x="8717280" y="2971800"/>
          <a:ext cx="1661160" cy="20574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solidFill>
                <a:schemeClr val="lt1"/>
              </a:solidFill>
              <a:effectLst/>
              <a:latin typeface="+mn-lt"/>
              <a:ea typeface="+mn-ea"/>
              <a:cs typeface="+mn-cs"/>
            </a:rPr>
            <a:t>visit_detail</a:t>
          </a:r>
          <a:r>
            <a:rPr kumimoji="1" lang="en-US" altLang="ja-JP" sz="1000"/>
            <a:t>_f</a:t>
          </a:r>
          <a:endParaRPr kumimoji="1" lang="ja-JP" altLang="en-US" sz="1000"/>
        </a:p>
      </xdr:txBody>
    </xdr:sp>
    <xdr:clientData/>
  </xdr:twoCellAnchor>
  <xdr:twoCellAnchor>
    <xdr:from>
      <xdr:col>18</xdr:col>
      <xdr:colOff>0</xdr:colOff>
      <xdr:row>36</xdr:row>
      <xdr:rowOff>0</xdr:rowOff>
    </xdr:from>
    <xdr:to>
      <xdr:col>20</xdr:col>
      <xdr:colOff>320040</xdr:colOff>
      <xdr:row>36</xdr:row>
      <xdr:rowOff>205740</xdr:rowOff>
    </xdr:to>
    <xdr:sp macro="" textlink="">
      <xdr:nvSpPr>
        <xdr:cNvPr id="17" name="正方形/長方形 16">
          <a:extLst>
            <a:ext uri="{FF2B5EF4-FFF2-40B4-BE49-F238E27FC236}">
              <a16:creationId xmlns:a16="http://schemas.microsoft.com/office/drawing/2014/main" id="{E954DCBE-D59F-410B-9582-FBBE8727EBFE}"/>
            </a:ext>
          </a:extLst>
        </xdr:cNvPr>
        <xdr:cNvSpPr/>
      </xdr:nvSpPr>
      <xdr:spPr>
        <a:xfrm>
          <a:off x="11399520" y="2743200"/>
          <a:ext cx="1661160" cy="205740"/>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solidFill>
                <a:srgbClr val="0000CC"/>
              </a:solidFill>
            </a:rPr>
            <a:t>visit_occurrence</a:t>
          </a:r>
          <a:endParaRPr kumimoji="1" lang="ja-JP" altLang="en-US" sz="1000">
            <a:solidFill>
              <a:srgbClr val="0000CC"/>
            </a:solidFill>
          </a:endParaRPr>
        </a:p>
      </xdr:txBody>
    </xdr:sp>
    <xdr:clientData/>
  </xdr:twoCellAnchor>
  <xdr:twoCellAnchor>
    <xdr:from>
      <xdr:col>18</xdr:col>
      <xdr:colOff>0</xdr:colOff>
      <xdr:row>37</xdr:row>
      <xdr:rowOff>0</xdr:rowOff>
    </xdr:from>
    <xdr:to>
      <xdr:col>20</xdr:col>
      <xdr:colOff>320040</xdr:colOff>
      <xdr:row>37</xdr:row>
      <xdr:rowOff>205740</xdr:rowOff>
    </xdr:to>
    <xdr:sp macro="" textlink="">
      <xdr:nvSpPr>
        <xdr:cNvPr id="18" name="正方形/長方形 17">
          <a:extLst>
            <a:ext uri="{FF2B5EF4-FFF2-40B4-BE49-F238E27FC236}">
              <a16:creationId xmlns:a16="http://schemas.microsoft.com/office/drawing/2014/main" id="{80E7E1CC-EFBF-4795-A390-C4136026D20A}"/>
            </a:ext>
          </a:extLst>
        </xdr:cNvPr>
        <xdr:cNvSpPr/>
      </xdr:nvSpPr>
      <xdr:spPr>
        <a:xfrm>
          <a:off x="11399520" y="2971800"/>
          <a:ext cx="1661160" cy="205740"/>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solidFill>
                <a:srgbClr val="0000CC"/>
              </a:solidFill>
            </a:rPr>
            <a:t>visit_detail</a:t>
          </a:r>
          <a:endParaRPr kumimoji="1" lang="ja-JP" altLang="en-US" sz="1000">
            <a:solidFill>
              <a:srgbClr val="0000CC"/>
            </a:solidFill>
          </a:endParaRPr>
        </a:p>
      </xdr:txBody>
    </xdr:sp>
    <xdr:clientData/>
  </xdr:twoCellAnchor>
  <xdr:twoCellAnchor>
    <xdr:from>
      <xdr:col>2</xdr:col>
      <xdr:colOff>0</xdr:colOff>
      <xdr:row>47</xdr:row>
      <xdr:rowOff>0</xdr:rowOff>
    </xdr:from>
    <xdr:to>
      <xdr:col>4</xdr:col>
      <xdr:colOff>0</xdr:colOff>
      <xdr:row>47</xdr:row>
      <xdr:rowOff>205740</xdr:rowOff>
    </xdr:to>
    <xdr:sp macro="" textlink="">
      <xdr:nvSpPr>
        <xdr:cNvPr id="21" name="正方形/長方形 20">
          <a:extLst>
            <a:ext uri="{FF2B5EF4-FFF2-40B4-BE49-F238E27FC236}">
              <a16:creationId xmlns:a16="http://schemas.microsoft.com/office/drawing/2014/main" id="{B638D450-7813-451D-A6E9-285D461C4532}"/>
            </a:ext>
          </a:extLst>
        </xdr:cNvPr>
        <xdr:cNvSpPr/>
      </xdr:nvSpPr>
      <xdr:spPr>
        <a:xfrm>
          <a:off x="670560" y="3657600"/>
          <a:ext cx="1341120" cy="205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PasientDisease</a:t>
          </a:r>
          <a:endParaRPr kumimoji="1" lang="ja-JP" altLang="en-US" sz="1000"/>
        </a:p>
      </xdr:txBody>
    </xdr:sp>
    <xdr:clientData/>
  </xdr:twoCellAnchor>
  <xdr:twoCellAnchor>
    <xdr:from>
      <xdr:col>6</xdr:col>
      <xdr:colOff>0</xdr:colOff>
      <xdr:row>47</xdr:row>
      <xdr:rowOff>0</xdr:rowOff>
    </xdr:from>
    <xdr:to>
      <xdr:col>8</xdr:col>
      <xdr:colOff>320040</xdr:colOff>
      <xdr:row>65</xdr:row>
      <xdr:rowOff>213360</xdr:rowOff>
    </xdr:to>
    <xdr:sp macro="" textlink="">
      <xdr:nvSpPr>
        <xdr:cNvPr id="22" name="正方形/長方形 21">
          <a:extLst>
            <a:ext uri="{FF2B5EF4-FFF2-40B4-BE49-F238E27FC236}">
              <a16:creationId xmlns:a16="http://schemas.microsoft.com/office/drawing/2014/main" id="{9C634020-6D23-43D1-9044-BB5063B65936}"/>
            </a:ext>
          </a:extLst>
        </xdr:cNvPr>
        <xdr:cNvSpPr/>
      </xdr:nvSpPr>
      <xdr:spPr>
        <a:xfrm>
          <a:off x="3352800" y="4572000"/>
          <a:ext cx="1661160" cy="4328160"/>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000">
              <a:solidFill>
                <a:srgbClr val="0000CC"/>
              </a:solidFill>
            </a:rPr>
            <a:t>stem_source</a:t>
          </a:r>
        </a:p>
        <a:p>
          <a:pPr algn="l"/>
          <a:r>
            <a:rPr kumimoji="1" lang="en-US" altLang="ja-JP" sz="1000">
              <a:solidFill>
                <a:srgbClr val="0000CC"/>
              </a:solidFill>
            </a:rPr>
            <a:t>includes columns deliverd from</a:t>
          </a:r>
        </a:p>
        <a:p>
          <a:pPr algn="l"/>
          <a:r>
            <a:rPr kumimoji="1" lang="en-US" altLang="ja-JP" sz="1000">
              <a:solidFill>
                <a:srgbClr val="0000CC"/>
              </a:solidFill>
            </a:rPr>
            <a:t>- condition</a:t>
          </a:r>
        </a:p>
        <a:p>
          <a:pPr algn="l"/>
          <a:r>
            <a:rPr kumimoji="1" lang="en-US" altLang="ja-JP" sz="1000">
              <a:solidFill>
                <a:srgbClr val="0000CC"/>
              </a:solidFill>
            </a:rPr>
            <a:t>-</a:t>
          </a:r>
          <a:r>
            <a:rPr kumimoji="1" lang="en-US" altLang="ja-JP" sz="1000" baseline="0">
              <a:solidFill>
                <a:srgbClr val="0000CC"/>
              </a:solidFill>
            </a:rPr>
            <a:t> drug_expsure</a:t>
          </a:r>
        </a:p>
        <a:p>
          <a:pPr algn="l"/>
          <a:r>
            <a:rPr kumimoji="1" lang="en-US" altLang="ja-JP" sz="1000" baseline="0">
              <a:solidFill>
                <a:srgbClr val="0000CC"/>
              </a:solidFill>
            </a:rPr>
            <a:t>- procedure_occurrence</a:t>
          </a:r>
        </a:p>
        <a:p>
          <a:pPr algn="l"/>
          <a:r>
            <a:rPr kumimoji="1" lang="en-US" altLang="ja-JP" sz="1000" baseline="0">
              <a:solidFill>
                <a:srgbClr val="0000CC"/>
              </a:solidFill>
            </a:rPr>
            <a:t>- device_occurrence</a:t>
          </a:r>
        </a:p>
        <a:p>
          <a:pPr algn="l"/>
          <a:r>
            <a:rPr kumimoji="1" lang="en-US" altLang="ja-JP" sz="1000" baseline="0">
              <a:solidFill>
                <a:srgbClr val="0000CC"/>
              </a:solidFill>
            </a:rPr>
            <a:t>- measurement</a:t>
          </a:r>
        </a:p>
        <a:p>
          <a:pPr algn="l"/>
          <a:r>
            <a:rPr kumimoji="1" lang="en-US" altLang="ja-JP" sz="1000" baseline="0">
              <a:solidFill>
                <a:srgbClr val="0000CC"/>
              </a:solidFill>
            </a:rPr>
            <a:t>- observation</a:t>
          </a:r>
        </a:p>
        <a:p>
          <a:pPr algn="l"/>
          <a:r>
            <a:rPr kumimoji="1" lang="en-US" altLang="ja-JP" sz="1000" baseline="0">
              <a:solidFill>
                <a:srgbClr val="0000CC"/>
              </a:solidFill>
            </a:rPr>
            <a:t>- specimen</a:t>
          </a:r>
          <a:endParaRPr kumimoji="1" lang="ja-JP" altLang="en-US" sz="1000">
            <a:solidFill>
              <a:srgbClr val="0000CC"/>
            </a:solidFill>
          </a:endParaRPr>
        </a:p>
      </xdr:txBody>
    </xdr:sp>
    <xdr:clientData/>
  </xdr:twoCellAnchor>
  <xdr:twoCellAnchor>
    <xdr:from>
      <xdr:col>10</xdr:col>
      <xdr:colOff>0</xdr:colOff>
      <xdr:row>47</xdr:row>
      <xdr:rowOff>0</xdr:rowOff>
    </xdr:from>
    <xdr:to>
      <xdr:col>12</xdr:col>
      <xdr:colOff>320040</xdr:colOff>
      <xdr:row>47</xdr:row>
      <xdr:rowOff>205740</xdr:rowOff>
    </xdr:to>
    <xdr:sp macro="" textlink="">
      <xdr:nvSpPr>
        <xdr:cNvPr id="23" name="正方形/長方形 22">
          <a:extLst>
            <a:ext uri="{FF2B5EF4-FFF2-40B4-BE49-F238E27FC236}">
              <a16:creationId xmlns:a16="http://schemas.microsoft.com/office/drawing/2014/main" id="{683143EC-A1EB-4D76-8B5A-0CE3EB86FFB4}"/>
            </a:ext>
          </a:extLst>
        </xdr:cNvPr>
        <xdr:cNvSpPr/>
      </xdr:nvSpPr>
      <xdr:spPr>
        <a:xfrm>
          <a:off x="6035040" y="3657600"/>
          <a:ext cx="1661160" cy="20574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condition_occurrence_m</a:t>
          </a:r>
          <a:endParaRPr kumimoji="1" lang="ja-JP" altLang="en-US" sz="1000"/>
        </a:p>
      </xdr:txBody>
    </xdr:sp>
    <xdr:clientData/>
  </xdr:twoCellAnchor>
  <xdr:twoCellAnchor>
    <xdr:from>
      <xdr:col>14</xdr:col>
      <xdr:colOff>0</xdr:colOff>
      <xdr:row>38</xdr:row>
      <xdr:rowOff>0</xdr:rowOff>
    </xdr:from>
    <xdr:to>
      <xdr:col>16</xdr:col>
      <xdr:colOff>320040</xdr:colOff>
      <xdr:row>38</xdr:row>
      <xdr:rowOff>205740</xdr:rowOff>
    </xdr:to>
    <xdr:sp macro="" textlink="">
      <xdr:nvSpPr>
        <xdr:cNvPr id="26" name="正方形/長方形 25">
          <a:extLst>
            <a:ext uri="{FF2B5EF4-FFF2-40B4-BE49-F238E27FC236}">
              <a16:creationId xmlns:a16="http://schemas.microsoft.com/office/drawing/2014/main" id="{2253ACB9-4CDB-48A0-BF6B-140A0859EC54}"/>
            </a:ext>
          </a:extLst>
        </xdr:cNvPr>
        <xdr:cNvSpPr/>
      </xdr:nvSpPr>
      <xdr:spPr>
        <a:xfrm>
          <a:off x="8717280" y="3200400"/>
          <a:ext cx="1661160" cy="205740"/>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visit_occurrence_e</a:t>
          </a:r>
          <a:endParaRPr kumimoji="1" lang="ja-JP" altLang="en-US" sz="1000"/>
        </a:p>
      </xdr:txBody>
    </xdr:sp>
    <xdr:clientData/>
  </xdr:twoCellAnchor>
  <xdr:twoCellAnchor>
    <xdr:from>
      <xdr:col>10</xdr:col>
      <xdr:colOff>0</xdr:colOff>
      <xdr:row>42</xdr:row>
      <xdr:rowOff>0</xdr:rowOff>
    </xdr:from>
    <xdr:to>
      <xdr:col>12</xdr:col>
      <xdr:colOff>320040</xdr:colOff>
      <xdr:row>42</xdr:row>
      <xdr:rowOff>205740</xdr:rowOff>
    </xdr:to>
    <xdr:sp macro="" textlink="">
      <xdr:nvSpPr>
        <xdr:cNvPr id="27" name="正方形/長方形 26">
          <a:extLst>
            <a:ext uri="{FF2B5EF4-FFF2-40B4-BE49-F238E27FC236}">
              <a16:creationId xmlns:a16="http://schemas.microsoft.com/office/drawing/2014/main" id="{BBF588A7-6CC1-4F70-B5DD-1CAD21053DF5}"/>
            </a:ext>
          </a:extLst>
        </xdr:cNvPr>
        <xdr:cNvSpPr/>
      </xdr:nvSpPr>
      <xdr:spPr>
        <a:xfrm>
          <a:off x="6035040" y="3657600"/>
          <a:ext cx="1661160" cy="20574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death_m</a:t>
          </a:r>
          <a:endParaRPr kumimoji="1" lang="ja-JP" altLang="en-US" sz="1000"/>
        </a:p>
      </xdr:txBody>
    </xdr:sp>
    <xdr:clientData/>
  </xdr:twoCellAnchor>
  <xdr:twoCellAnchor>
    <xdr:from>
      <xdr:col>14</xdr:col>
      <xdr:colOff>0</xdr:colOff>
      <xdr:row>42</xdr:row>
      <xdr:rowOff>0</xdr:rowOff>
    </xdr:from>
    <xdr:to>
      <xdr:col>16</xdr:col>
      <xdr:colOff>320040</xdr:colOff>
      <xdr:row>42</xdr:row>
      <xdr:rowOff>205740</xdr:rowOff>
    </xdr:to>
    <xdr:sp macro="" textlink="">
      <xdr:nvSpPr>
        <xdr:cNvPr id="28" name="正方形/長方形 27">
          <a:extLst>
            <a:ext uri="{FF2B5EF4-FFF2-40B4-BE49-F238E27FC236}">
              <a16:creationId xmlns:a16="http://schemas.microsoft.com/office/drawing/2014/main" id="{3907627E-1AEB-41F7-ADDF-8A026D64D717}"/>
            </a:ext>
          </a:extLst>
        </xdr:cNvPr>
        <xdr:cNvSpPr/>
      </xdr:nvSpPr>
      <xdr:spPr>
        <a:xfrm>
          <a:off x="8717280" y="3657600"/>
          <a:ext cx="1661160" cy="20574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solidFill>
                <a:schemeClr val="lt1"/>
              </a:solidFill>
              <a:effectLst/>
              <a:latin typeface="+mn-lt"/>
              <a:ea typeface="+mn-ea"/>
              <a:cs typeface="+mn-cs"/>
            </a:rPr>
            <a:t>death</a:t>
          </a:r>
          <a:r>
            <a:rPr kumimoji="1" lang="en-US" altLang="ja-JP" sz="1000"/>
            <a:t>_f</a:t>
          </a:r>
          <a:endParaRPr kumimoji="1" lang="ja-JP" altLang="en-US" sz="1000"/>
        </a:p>
      </xdr:txBody>
    </xdr:sp>
    <xdr:clientData/>
  </xdr:twoCellAnchor>
  <xdr:twoCellAnchor>
    <xdr:from>
      <xdr:col>14</xdr:col>
      <xdr:colOff>0</xdr:colOff>
      <xdr:row>43</xdr:row>
      <xdr:rowOff>0</xdr:rowOff>
    </xdr:from>
    <xdr:to>
      <xdr:col>16</xdr:col>
      <xdr:colOff>320040</xdr:colOff>
      <xdr:row>43</xdr:row>
      <xdr:rowOff>205740</xdr:rowOff>
    </xdr:to>
    <xdr:sp macro="" textlink="">
      <xdr:nvSpPr>
        <xdr:cNvPr id="29" name="正方形/長方形 28">
          <a:extLst>
            <a:ext uri="{FF2B5EF4-FFF2-40B4-BE49-F238E27FC236}">
              <a16:creationId xmlns:a16="http://schemas.microsoft.com/office/drawing/2014/main" id="{4385E013-F130-42E2-AA5B-EF532376856C}"/>
            </a:ext>
          </a:extLst>
        </xdr:cNvPr>
        <xdr:cNvSpPr/>
      </xdr:nvSpPr>
      <xdr:spPr>
        <a:xfrm>
          <a:off x="8717280" y="3886200"/>
          <a:ext cx="1661160" cy="205740"/>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death_e</a:t>
          </a:r>
          <a:endParaRPr kumimoji="1" lang="ja-JP" altLang="en-US" sz="1000"/>
        </a:p>
      </xdr:txBody>
    </xdr:sp>
    <xdr:clientData/>
  </xdr:twoCellAnchor>
  <xdr:twoCellAnchor>
    <xdr:from>
      <xdr:col>18</xdr:col>
      <xdr:colOff>0</xdr:colOff>
      <xdr:row>42</xdr:row>
      <xdr:rowOff>0</xdr:rowOff>
    </xdr:from>
    <xdr:to>
      <xdr:col>20</xdr:col>
      <xdr:colOff>320040</xdr:colOff>
      <xdr:row>42</xdr:row>
      <xdr:rowOff>205740</xdr:rowOff>
    </xdr:to>
    <xdr:sp macro="" textlink="">
      <xdr:nvSpPr>
        <xdr:cNvPr id="30" name="正方形/長方形 29">
          <a:extLst>
            <a:ext uri="{FF2B5EF4-FFF2-40B4-BE49-F238E27FC236}">
              <a16:creationId xmlns:a16="http://schemas.microsoft.com/office/drawing/2014/main" id="{EA9064A9-F875-4A02-9DDE-DCD92E0DBAA5}"/>
            </a:ext>
          </a:extLst>
        </xdr:cNvPr>
        <xdr:cNvSpPr/>
      </xdr:nvSpPr>
      <xdr:spPr>
        <a:xfrm>
          <a:off x="11399520" y="3657600"/>
          <a:ext cx="1661160" cy="205740"/>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solidFill>
                <a:srgbClr val="0000CC"/>
              </a:solidFill>
            </a:rPr>
            <a:t>death</a:t>
          </a:r>
          <a:endParaRPr kumimoji="1" lang="ja-JP" altLang="en-US" sz="1000">
            <a:solidFill>
              <a:srgbClr val="0000CC"/>
            </a:solidFill>
          </a:endParaRPr>
        </a:p>
      </xdr:txBody>
    </xdr:sp>
    <xdr:clientData/>
  </xdr:twoCellAnchor>
  <xdr:twoCellAnchor>
    <xdr:from>
      <xdr:col>4</xdr:col>
      <xdr:colOff>0</xdr:colOff>
      <xdr:row>27</xdr:row>
      <xdr:rowOff>102870</xdr:rowOff>
    </xdr:from>
    <xdr:to>
      <xdr:col>6</xdr:col>
      <xdr:colOff>22860</xdr:colOff>
      <xdr:row>27</xdr:row>
      <xdr:rowOff>102870</xdr:rowOff>
    </xdr:to>
    <xdr:cxnSp macro="">
      <xdr:nvCxnSpPr>
        <xdr:cNvPr id="32" name="直線矢印コネクタ 31">
          <a:extLst>
            <a:ext uri="{FF2B5EF4-FFF2-40B4-BE49-F238E27FC236}">
              <a16:creationId xmlns:a16="http://schemas.microsoft.com/office/drawing/2014/main" id="{EEB87B39-6223-D80A-952A-5DF24DE62A4A}"/>
            </a:ext>
          </a:extLst>
        </xdr:cNvPr>
        <xdr:cNvCxnSpPr>
          <a:cxnSpLocks/>
          <a:stCxn id="3" idx="3"/>
        </xdr:cNvCxnSpPr>
      </xdr:nvCxnSpPr>
      <xdr:spPr>
        <a:xfrm>
          <a:off x="2011680" y="1931670"/>
          <a:ext cx="136398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342900</xdr:colOff>
      <xdr:row>27</xdr:row>
      <xdr:rowOff>102870</xdr:rowOff>
    </xdr:from>
    <xdr:to>
      <xdr:col>10</xdr:col>
      <xdr:colOff>0</xdr:colOff>
      <xdr:row>27</xdr:row>
      <xdr:rowOff>102870</xdr:rowOff>
    </xdr:to>
    <xdr:cxnSp macro="">
      <xdr:nvCxnSpPr>
        <xdr:cNvPr id="36" name="直線矢印コネクタ 35">
          <a:extLst>
            <a:ext uri="{FF2B5EF4-FFF2-40B4-BE49-F238E27FC236}">
              <a16:creationId xmlns:a16="http://schemas.microsoft.com/office/drawing/2014/main" id="{F14E14E4-1285-4385-8998-4D50C7774241}"/>
            </a:ext>
          </a:extLst>
        </xdr:cNvPr>
        <xdr:cNvCxnSpPr>
          <a:cxnSpLocks/>
          <a:endCxn id="8" idx="1"/>
        </xdr:cNvCxnSpPr>
      </xdr:nvCxnSpPr>
      <xdr:spPr>
        <a:xfrm>
          <a:off x="5036820" y="1931670"/>
          <a:ext cx="99822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320040</xdr:colOff>
      <xdr:row>27</xdr:row>
      <xdr:rowOff>102870</xdr:rowOff>
    </xdr:from>
    <xdr:to>
      <xdr:col>14</xdr:col>
      <xdr:colOff>0</xdr:colOff>
      <xdr:row>27</xdr:row>
      <xdr:rowOff>102870</xdr:rowOff>
    </xdr:to>
    <xdr:cxnSp macro="">
      <xdr:nvCxnSpPr>
        <xdr:cNvPr id="39" name="直線矢印コネクタ 38">
          <a:extLst>
            <a:ext uri="{FF2B5EF4-FFF2-40B4-BE49-F238E27FC236}">
              <a16:creationId xmlns:a16="http://schemas.microsoft.com/office/drawing/2014/main" id="{1870ACDB-68E7-4723-A7CD-E2C2D8CF459E}"/>
            </a:ext>
          </a:extLst>
        </xdr:cNvPr>
        <xdr:cNvCxnSpPr>
          <a:stCxn id="8" idx="3"/>
          <a:endCxn id="11" idx="1"/>
        </xdr:cNvCxnSpPr>
      </xdr:nvCxnSpPr>
      <xdr:spPr>
        <a:xfrm>
          <a:off x="7696200" y="1931670"/>
          <a:ext cx="102108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320040</xdr:colOff>
      <xdr:row>27</xdr:row>
      <xdr:rowOff>102870</xdr:rowOff>
    </xdr:from>
    <xdr:to>
      <xdr:col>14</xdr:col>
      <xdr:colOff>0</xdr:colOff>
      <xdr:row>28</xdr:row>
      <xdr:rowOff>102870</xdr:rowOff>
    </xdr:to>
    <xdr:cxnSp macro="">
      <xdr:nvCxnSpPr>
        <xdr:cNvPr id="42" name="直線矢印コネクタ 41">
          <a:extLst>
            <a:ext uri="{FF2B5EF4-FFF2-40B4-BE49-F238E27FC236}">
              <a16:creationId xmlns:a16="http://schemas.microsoft.com/office/drawing/2014/main" id="{E891CC99-6820-4B55-A4FC-EC84ACFADF17}"/>
            </a:ext>
          </a:extLst>
        </xdr:cNvPr>
        <xdr:cNvCxnSpPr>
          <a:stCxn id="8" idx="3"/>
          <a:endCxn id="12" idx="1"/>
        </xdr:cNvCxnSpPr>
      </xdr:nvCxnSpPr>
      <xdr:spPr>
        <a:xfrm>
          <a:off x="7696200" y="1931670"/>
          <a:ext cx="1021080" cy="2286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320040</xdr:colOff>
      <xdr:row>27</xdr:row>
      <xdr:rowOff>102870</xdr:rowOff>
    </xdr:from>
    <xdr:to>
      <xdr:col>18</xdr:col>
      <xdr:colOff>0</xdr:colOff>
      <xdr:row>27</xdr:row>
      <xdr:rowOff>102870</xdr:rowOff>
    </xdr:to>
    <xdr:cxnSp macro="">
      <xdr:nvCxnSpPr>
        <xdr:cNvPr id="45" name="直線矢印コネクタ 44">
          <a:extLst>
            <a:ext uri="{FF2B5EF4-FFF2-40B4-BE49-F238E27FC236}">
              <a16:creationId xmlns:a16="http://schemas.microsoft.com/office/drawing/2014/main" id="{9B548F56-D01D-42A3-B671-5D75B062C93F}"/>
            </a:ext>
          </a:extLst>
        </xdr:cNvPr>
        <xdr:cNvCxnSpPr>
          <a:stCxn id="11" idx="3"/>
          <a:endCxn id="13" idx="1"/>
        </xdr:cNvCxnSpPr>
      </xdr:nvCxnSpPr>
      <xdr:spPr>
        <a:xfrm>
          <a:off x="10378440" y="1931670"/>
          <a:ext cx="102108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0</xdr:colOff>
      <xdr:row>36</xdr:row>
      <xdr:rowOff>102870</xdr:rowOff>
    </xdr:from>
    <xdr:to>
      <xdr:col>6</xdr:col>
      <xdr:colOff>0</xdr:colOff>
      <xdr:row>36</xdr:row>
      <xdr:rowOff>102870</xdr:rowOff>
    </xdr:to>
    <xdr:cxnSp macro="">
      <xdr:nvCxnSpPr>
        <xdr:cNvPr id="48" name="直線矢印コネクタ 47">
          <a:extLst>
            <a:ext uri="{FF2B5EF4-FFF2-40B4-BE49-F238E27FC236}">
              <a16:creationId xmlns:a16="http://schemas.microsoft.com/office/drawing/2014/main" id="{30A9613C-FC5B-4188-9272-475C6742C0B8}"/>
            </a:ext>
          </a:extLst>
        </xdr:cNvPr>
        <xdr:cNvCxnSpPr>
          <a:stCxn id="6" idx="3"/>
          <a:endCxn id="7" idx="1"/>
        </xdr:cNvCxnSpPr>
      </xdr:nvCxnSpPr>
      <xdr:spPr>
        <a:xfrm>
          <a:off x="2011680" y="2846070"/>
          <a:ext cx="134112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320040</xdr:colOff>
      <xdr:row>36</xdr:row>
      <xdr:rowOff>102870</xdr:rowOff>
    </xdr:from>
    <xdr:to>
      <xdr:col>10</xdr:col>
      <xdr:colOff>0</xdr:colOff>
      <xdr:row>36</xdr:row>
      <xdr:rowOff>102870</xdr:rowOff>
    </xdr:to>
    <xdr:cxnSp macro="">
      <xdr:nvCxnSpPr>
        <xdr:cNvPr id="51" name="直線矢印コネクタ 50">
          <a:extLst>
            <a:ext uri="{FF2B5EF4-FFF2-40B4-BE49-F238E27FC236}">
              <a16:creationId xmlns:a16="http://schemas.microsoft.com/office/drawing/2014/main" id="{4570B588-D087-4E28-8512-F49AC1A80884}"/>
            </a:ext>
          </a:extLst>
        </xdr:cNvPr>
        <xdr:cNvCxnSpPr>
          <a:stCxn id="7" idx="3"/>
          <a:endCxn id="10" idx="1"/>
        </xdr:cNvCxnSpPr>
      </xdr:nvCxnSpPr>
      <xdr:spPr>
        <a:xfrm>
          <a:off x="5013960" y="2846070"/>
          <a:ext cx="102108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320040</xdr:colOff>
      <xdr:row>36</xdr:row>
      <xdr:rowOff>102870</xdr:rowOff>
    </xdr:from>
    <xdr:to>
      <xdr:col>14</xdr:col>
      <xdr:colOff>0</xdr:colOff>
      <xdr:row>36</xdr:row>
      <xdr:rowOff>102870</xdr:rowOff>
    </xdr:to>
    <xdr:cxnSp macro="">
      <xdr:nvCxnSpPr>
        <xdr:cNvPr id="54" name="直線矢印コネクタ 53">
          <a:extLst>
            <a:ext uri="{FF2B5EF4-FFF2-40B4-BE49-F238E27FC236}">
              <a16:creationId xmlns:a16="http://schemas.microsoft.com/office/drawing/2014/main" id="{5324E02C-4F75-4220-ABA5-D971EE9F06ED}"/>
            </a:ext>
          </a:extLst>
        </xdr:cNvPr>
        <xdr:cNvCxnSpPr>
          <a:stCxn id="10" idx="3"/>
          <a:endCxn id="14" idx="1"/>
        </xdr:cNvCxnSpPr>
      </xdr:nvCxnSpPr>
      <xdr:spPr>
        <a:xfrm>
          <a:off x="7696200" y="2846070"/>
          <a:ext cx="102108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320040</xdr:colOff>
      <xdr:row>36</xdr:row>
      <xdr:rowOff>102870</xdr:rowOff>
    </xdr:from>
    <xdr:to>
      <xdr:col>14</xdr:col>
      <xdr:colOff>0</xdr:colOff>
      <xdr:row>37</xdr:row>
      <xdr:rowOff>102870</xdr:rowOff>
    </xdr:to>
    <xdr:cxnSp macro="">
      <xdr:nvCxnSpPr>
        <xdr:cNvPr id="57" name="直線矢印コネクタ 56">
          <a:extLst>
            <a:ext uri="{FF2B5EF4-FFF2-40B4-BE49-F238E27FC236}">
              <a16:creationId xmlns:a16="http://schemas.microsoft.com/office/drawing/2014/main" id="{051AC2C6-04A5-4FAB-A98B-ED43AC3902ED}"/>
            </a:ext>
          </a:extLst>
        </xdr:cNvPr>
        <xdr:cNvCxnSpPr>
          <a:stCxn id="10" idx="3"/>
          <a:endCxn id="15" idx="1"/>
        </xdr:cNvCxnSpPr>
      </xdr:nvCxnSpPr>
      <xdr:spPr>
        <a:xfrm>
          <a:off x="7696200" y="2846070"/>
          <a:ext cx="1021080" cy="2286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320040</xdr:colOff>
      <xdr:row>36</xdr:row>
      <xdr:rowOff>102870</xdr:rowOff>
    </xdr:from>
    <xdr:to>
      <xdr:col>14</xdr:col>
      <xdr:colOff>0</xdr:colOff>
      <xdr:row>38</xdr:row>
      <xdr:rowOff>102870</xdr:rowOff>
    </xdr:to>
    <xdr:cxnSp macro="">
      <xdr:nvCxnSpPr>
        <xdr:cNvPr id="60" name="直線矢印コネクタ 59">
          <a:extLst>
            <a:ext uri="{FF2B5EF4-FFF2-40B4-BE49-F238E27FC236}">
              <a16:creationId xmlns:a16="http://schemas.microsoft.com/office/drawing/2014/main" id="{CA7F3F00-0024-404C-ACCC-9F0E95D6DD07}"/>
            </a:ext>
          </a:extLst>
        </xdr:cNvPr>
        <xdr:cNvCxnSpPr>
          <a:stCxn id="10" idx="3"/>
          <a:endCxn id="26" idx="1"/>
        </xdr:cNvCxnSpPr>
      </xdr:nvCxnSpPr>
      <xdr:spPr>
        <a:xfrm>
          <a:off x="7696200" y="2846070"/>
          <a:ext cx="1021080" cy="4572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320040</xdr:colOff>
      <xdr:row>36</xdr:row>
      <xdr:rowOff>102870</xdr:rowOff>
    </xdr:from>
    <xdr:to>
      <xdr:col>18</xdr:col>
      <xdr:colOff>0</xdr:colOff>
      <xdr:row>36</xdr:row>
      <xdr:rowOff>102870</xdr:rowOff>
    </xdr:to>
    <xdr:cxnSp macro="">
      <xdr:nvCxnSpPr>
        <xdr:cNvPr id="64" name="直線矢印コネクタ 63">
          <a:extLst>
            <a:ext uri="{FF2B5EF4-FFF2-40B4-BE49-F238E27FC236}">
              <a16:creationId xmlns:a16="http://schemas.microsoft.com/office/drawing/2014/main" id="{308A048C-BABE-4BD1-ADA0-D1E162ED9855}"/>
            </a:ext>
          </a:extLst>
        </xdr:cNvPr>
        <xdr:cNvCxnSpPr>
          <a:stCxn id="14" idx="3"/>
          <a:endCxn id="17" idx="1"/>
        </xdr:cNvCxnSpPr>
      </xdr:nvCxnSpPr>
      <xdr:spPr>
        <a:xfrm>
          <a:off x="10378440" y="2846070"/>
          <a:ext cx="102108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320040</xdr:colOff>
      <xdr:row>37</xdr:row>
      <xdr:rowOff>102870</xdr:rowOff>
    </xdr:from>
    <xdr:to>
      <xdr:col>18</xdr:col>
      <xdr:colOff>0</xdr:colOff>
      <xdr:row>37</xdr:row>
      <xdr:rowOff>102870</xdr:rowOff>
    </xdr:to>
    <xdr:cxnSp macro="">
      <xdr:nvCxnSpPr>
        <xdr:cNvPr id="67" name="直線矢印コネクタ 66">
          <a:extLst>
            <a:ext uri="{FF2B5EF4-FFF2-40B4-BE49-F238E27FC236}">
              <a16:creationId xmlns:a16="http://schemas.microsoft.com/office/drawing/2014/main" id="{6CB5586B-7D7F-4CD1-80F5-322E37834747}"/>
            </a:ext>
          </a:extLst>
        </xdr:cNvPr>
        <xdr:cNvCxnSpPr>
          <a:stCxn id="15" idx="3"/>
          <a:endCxn id="18" idx="1"/>
        </xdr:cNvCxnSpPr>
      </xdr:nvCxnSpPr>
      <xdr:spPr>
        <a:xfrm>
          <a:off x="10378440" y="3074670"/>
          <a:ext cx="102108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320040</xdr:colOff>
      <xdr:row>42</xdr:row>
      <xdr:rowOff>102870</xdr:rowOff>
    </xdr:from>
    <xdr:to>
      <xdr:col>18</xdr:col>
      <xdr:colOff>0</xdr:colOff>
      <xdr:row>42</xdr:row>
      <xdr:rowOff>102870</xdr:rowOff>
    </xdr:to>
    <xdr:cxnSp macro="">
      <xdr:nvCxnSpPr>
        <xdr:cNvPr id="70" name="直線矢印コネクタ 69">
          <a:extLst>
            <a:ext uri="{FF2B5EF4-FFF2-40B4-BE49-F238E27FC236}">
              <a16:creationId xmlns:a16="http://schemas.microsoft.com/office/drawing/2014/main" id="{3DC5D8AA-F2BC-4BDB-A280-EDB74C16EB52}"/>
            </a:ext>
          </a:extLst>
        </xdr:cNvPr>
        <xdr:cNvCxnSpPr>
          <a:stCxn id="28" idx="3"/>
          <a:endCxn id="30" idx="1"/>
        </xdr:cNvCxnSpPr>
      </xdr:nvCxnSpPr>
      <xdr:spPr>
        <a:xfrm>
          <a:off x="10378440" y="3760470"/>
          <a:ext cx="102108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320040</xdr:colOff>
      <xdr:row>42</xdr:row>
      <xdr:rowOff>102870</xdr:rowOff>
    </xdr:from>
    <xdr:to>
      <xdr:col>14</xdr:col>
      <xdr:colOff>0</xdr:colOff>
      <xdr:row>42</xdr:row>
      <xdr:rowOff>102870</xdr:rowOff>
    </xdr:to>
    <xdr:cxnSp macro="">
      <xdr:nvCxnSpPr>
        <xdr:cNvPr id="73" name="直線矢印コネクタ 72">
          <a:extLst>
            <a:ext uri="{FF2B5EF4-FFF2-40B4-BE49-F238E27FC236}">
              <a16:creationId xmlns:a16="http://schemas.microsoft.com/office/drawing/2014/main" id="{5CF329E5-0A34-4A23-BCBC-4A42310CD1D6}"/>
            </a:ext>
          </a:extLst>
        </xdr:cNvPr>
        <xdr:cNvCxnSpPr>
          <a:stCxn id="27" idx="3"/>
          <a:endCxn id="28" idx="1"/>
        </xdr:cNvCxnSpPr>
      </xdr:nvCxnSpPr>
      <xdr:spPr>
        <a:xfrm>
          <a:off x="7696200" y="3760470"/>
          <a:ext cx="102108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320040</xdr:colOff>
      <xdr:row>36</xdr:row>
      <xdr:rowOff>102870</xdr:rowOff>
    </xdr:from>
    <xdr:to>
      <xdr:col>10</xdr:col>
      <xdr:colOff>0</xdr:colOff>
      <xdr:row>42</xdr:row>
      <xdr:rowOff>102870</xdr:rowOff>
    </xdr:to>
    <xdr:cxnSp macro="">
      <xdr:nvCxnSpPr>
        <xdr:cNvPr id="76" name="直線矢印コネクタ 75">
          <a:extLst>
            <a:ext uri="{FF2B5EF4-FFF2-40B4-BE49-F238E27FC236}">
              <a16:creationId xmlns:a16="http://schemas.microsoft.com/office/drawing/2014/main" id="{7661CB73-8FA6-4E85-A24E-6A2C11B86133}"/>
            </a:ext>
          </a:extLst>
        </xdr:cNvPr>
        <xdr:cNvCxnSpPr>
          <a:stCxn id="7" idx="3"/>
          <a:endCxn id="27" idx="1"/>
        </xdr:cNvCxnSpPr>
      </xdr:nvCxnSpPr>
      <xdr:spPr>
        <a:xfrm>
          <a:off x="5013960" y="2846070"/>
          <a:ext cx="1021080" cy="9144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0</xdr:colOff>
      <xdr:row>47</xdr:row>
      <xdr:rowOff>102870</xdr:rowOff>
    </xdr:from>
    <xdr:to>
      <xdr:col>6</xdr:col>
      <xdr:colOff>0</xdr:colOff>
      <xdr:row>56</xdr:row>
      <xdr:rowOff>106680</xdr:rowOff>
    </xdr:to>
    <xdr:cxnSp macro="">
      <xdr:nvCxnSpPr>
        <xdr:cNvPr id="79" name="直線矢印コネクタ 78">
          <a:extLst>
            <a:ext uri="{FF2B5EF4-FFF2-40B4-BE49-F238E27FC236}">
              <a16:creationId xmlns:a16="http://schemas.microsoft.com/office/drawing/2014/main" id="{C02FC6FB-744B-411D-952E-A6A0A4796920}"/>
            </a:ext>
          </a:extLst>
        </xdr:cNvPr>
        <xdr:cNvCxnSpPr>
          <a:stCxn id="21" idx="3"/>
          <a:endCxn id="22" idx="1"/>
        </xdr:cNvCxnSpPr>
      </xdr:nvCxnSpPr>
      <xdr:spPr>
        <a:xfrm>
          <a:off x="2011680" y="4674870"/>
          <a:ext cx="1341120" cy="20612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320040</xdr:colOff>
      <xdr:row>47</xdr:row>
      <xdr:rowOff>102870</xdr:rowOff>
    </xdr:from>
    <xdr:to>
      <xdr:col>10</xdr:col>
      <xdr:colOff>0</xdr:colOff>
      <xdr:row>56</xdr:row>
      <xdr:rowOff>106680</xdr:rowOff>
    </xdr:to>
    <xdr:cxnSp macro="">
      <xdr:nvCxnSpPr>
        <xdr:cNvPr id="82" name="直線矢印コネクタ 81">
          <a:extLst>
            <a:ext uri="{FF2B5EF4-FFF2-40B4-BE49-F238E27FC236}">
              <a16:creationId xmlns:a16="http://schemas.microsoft.com/office/drawing/2014/main" id="{AEB3BA62-E176-46D8-B993-6D5EFF494D26}"/>
            </a:ext>
          </a:extLst>
        </xdr:cNvPr>
        <xdr:cNvCxnSpPr>
          <a:stCxn id="22" idx="3"/>
          <a:endCxn id="23" idx="1"/>
        </xdr:cNvCxnSpPr>
      </xdr:nvCxnSpPr>
      <xdr:spPr>
        <a:xfrm flipV="1">
          <a:off x="5013960" y="4674870"/>
          <a:ext cx="1021080" cy="20612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0</xdr:colOff>
      <xdr:row>47</xdr:row>
      <xdr:rowOff>0</xdr:rowOff>
    </xdr:from>
    <xdr:to>
      <xdr:col>16</xdr:col>
      <xdr:colOff>320040</xdr:colOff>
      <xdr:row>47</xdr:row>
      <xdr:rowOff>205740</xdr:rowOff>
    </xdr:to>
    <xdr:sp macro="" textlink="">
      <xdr:nvSpPr>
        <xdr:cNvPr id="85" name="正方形/長方形 84">
          <a:extLst>
            <a:ext uri="{FF2B5EF4-FFF2-40B4-BE49-F238E27FC236}">
              <a16:creationId xmlns:a16="http://schemas.microsoft.com/office/drawing/2014/main" id="{0410713B-8176-4D7B-BCB1-35FDCEEEDE44}"/>
            </a:ext>
          </a:extLst>
        </xdr:cNvPr>
        <xdr:cNvSpPr/>
      </xdr:nvSpPr>
      <xdr:spPr>
        <a:xfrm>
          <a:off x="8717280" y="4572000"/>
          <a:ext cx="1661160" cy="20574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solidFill>
                <a:schemeClr val="lt1"/>
              </a:solidFill>
              <a:effectLst/>
              <a:latin typeface="+mn-lt"/>
              <a:ea typeface="+mn-ea"/>
              <a:cs typeface="+mn-cs"/>
            </a:rPr>
            <a:t>condition_occurrence</a:t>
          </a:r>
          <a:r>
            <a:rPr kumimoji="1" lang="en-US" altLang="ja-JP" sz="1000"/>
            <a:t>_f</a:t>
          </a:r>
          <a:endParaRPr kumimoji="1" lang="ja-JP" altLang="en-US" sz="1000"/>
        </a:p>
      </xdr:txBody>
    </xdr:sp>
    <xdr:clientData/>
  </xdr:twoCellAnchor>
  <xdr:twoCellAnchor>
    <xdr:from>
      <xdr:col>14</xdr:col>
      <xdr:colOff>0</xdr:colOff>
      <xdr:row>48</xdr:row>
      <xdr:rowOff>0</xdr:rowOff>
    </xdr:from>
    <xdr:to>
      <xdr:col>16</xdr:col>
      <xdr:colOff>320040</xdr:colOff>
      <xdr:row>48</xdr:row>
      <xdr:rowOff>205740</xdr:rowOff>
    </xdr:to>
    <xdr:sp macro="" textlink="">
      <xdr:nvSpPr>
        <xdr:cNvPr id="86" name="正方形/長方形 85">
          <a:extLst>
            <a:ext uri="{FF2B5EF4-FFF2-40B4-BE49-F238E27FC236}">
              <a16:creationId xmlns:a16="http://schemas.microsoft.com/office/drawing/2014/main" id="{32B0A301-7494-4DF0-9727-91CFFC7A5793}"/>
            </a:ext>
          </a:extLst>
        </xdr:cNvPr>
        <xdr:cNvSpPr/>
      </xdr:nvSpPr>
      <xdr:spPr>
        <a:xfrm>
          <a:off x="8717280" y="4800600"/>
          <a:ext cx="1661160" cy="205740"/>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condition_occurrence_e</a:t>
          </a:r>
          <a:endParaRPr kumimoji="1" lang="ja-JP" altLang="en-US" sz="1000"/>
        </a:p>
      </xdr:txBody>
    </xdr:sp>
    <xdr:clientData/>
  </xdr:twoCellAnchor>
  <xdr:twoCellAnchor>
    <xdr:from>
      <xdr:col>18</xdr:col>
      <xdr:colOff>0</xdr:colOff>
      <xdr:row>47</xdr:row>
      <xdr:rowOff>0</xdr:rowOff>
    </xdr:from>
    <xdr:to>
      <xdr:col>20</xdr:col>
      <xdr:colOff>320040</xdr:colOff>
      <xdr:row>47</xdr:row>
      <xdr:rowOff>205740</xdr:rowOff>
    </xdr:to>
    <xdr:sp macro="" textlink="">
      <xdr:nvSpPr>
        <xdr:cNvPr id="87" name="正方形/長方形 86">
          <a:extLst>
            <a:ext uri="{FF2B5EF4-FFF2-40B4-BE49-F238E27FC236}">
              <a16:creationId xmlns:a16="http://schemas.microsoft.com/office/drawing/2014/main" id="{B8C57BC0-A402-4753-B3FC-15FF1D70030E}"/>
            </a:ext>
          </a:extLst>
        </xdr:cNvPr>
        <xdr:cNvSpPr/>
      </xdr:nvSpPr>
      <xdr:spPr>
        <a:xfrm>
          <a:off x="11399520" y="4572000"/>
          <a:ext cx="1661160" cy="205740"/>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solidFill>
                <a:srgbClr val="0000CC"/>
              </a:solidFill>
            </a:rPr>
            <a:t>condition_occurrence</a:t>
          </a:r>
          <a:endParaRPr kumimoji="1" lang="ja-JP" altLang="en-US" sz="1000">
            <a:solidFill>
              <a:srgbClr val="0000CC"/>
            </a:solidFill>
          </a:endParaRPr>
        </a:p>
      </xdr:txBody>
    </xdr:sp>
    <xdr:clientData/>
  </xdr:twoCellAnchor>
  <xdr:twoCellAnchor>
    <xdr:from>
      <xdr:col>16</xdr:col>
      <xdr:colOff>320040</xdr:colOff>
      <xdr:row>47</xdr:row>
      <xdr:rowOff>102870</xdr:rowOff>
    </xdr:from>
    <xdr:to>
      <xdr:col>18</xdr:col>
      <xdr:colOff>0</xdr:colOff>
      <xdr:row>47</xdr:row>
      <xdr:rowOff>102870</xdr:rowOff>
    </xdr:to>
    <xdr:cxnSp macro="">
      <xdr:nvCxnSpPr>
        <xdr:cNvPr id="88" name="直線矢印コネクタ 87">
          <a:extLst>
            <a:ext uri="{FF2B5EF4-FFF2-40B4-BE49-F238E27FC236}">
              <a16:creationId xmlns:a16="http://schemas.microsoft.com/office/drawing/2014/main" id="{22099E6D-FC53-4E48-9215-4E279E2B4F61}"/>
            </a:ext>
          </a:extLst>
        </xdr:cNvPr>
        <xdr:cNvCxnSpPr>
          <a:stCxn id="85" idx="3"/>
          <a:endCxn id="87" idx="1"/>
        </xdr:cNvCxnSpPr>
      </xdr:nvCxnSpPr>
      <xdr:spPr>
        <a:xfrm>
          <a:off x="10378440" y="4674870"/>
          <a:ext cx="102108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320040</xdr:colOff>
      <xdr:row>47</xdr:row>
      <xdr:rowOff>102870</xdr:rowOff>
    </xdr:from>
    <xdr:to>
      <xdr:col>14</xdr:col>
      <xdr:colOff>0</xdr:colOff>
      <xdr:row>47</xdr:row>
      <xdr:rowOff>102870</xdr:rowOff>
    </xdr:to>
    <xdr:cxnSp macro="">
      <xdr:nvCxnSpPr>
        <xdr:cNvPr id="91" name="直線矢印コネクタ 90">
          <a:extLst>
            <a:ext uri="{FF2B5EF4-FFF2-40B4-BE49-F238E27FC236}">
              <a16:creationId xmlns:a16="http://schemas.microsoft.com/office/drawing/2014/main" id="{F50505BD-BDF6-42C3-A661-6AE76D130325}"/>
            </a:ext>
          </a:extLst>
        </xdr:cNvPr>
        <xdr:cNvCxnSpPr>
          <a:stCxn id="23" idx="3"/>
          <a:endCxn id="85" idx="1"/>
        </xdr:cNvCxnSpPr>
      </xdr:nvCxnSpPr>
      <xdr:spPr>
        <a:xfrm>
          <a:off x="7696200" y="4674870"/>
          <a:ext cx="102108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320040</xdr:colOff>
      <xdr:row>42</xdr:row>
      <xdr:rowOff>102870</xdr:rowOff>
    </xdr:from>
    <xdr:to>
      <xdr:col>14</xdr:col>
      <xdr:colOff>0</xdr:colOff>
      <xdr:row>43</xdr:row>
      <xdr:rowOff>102870</xdr:rowOff>
    </xdr:to>
    <xdr:cxnSp macro="">
      <xdr:nvCxnSpPr>
        <xdr:cNvPr id="94" name="直線矢印コネクタ 93">
          <a:extLst>
            <a:ext uri="{FF2B5EF4-FFF2-40B4-BE49-F238E27FC236}">
              <a16:creationId xmlns:a16="http://schemas.microsoft.com/office/drawing/2014/main" id="{99E3323D-2131-42BA-ADD6-18A5F23DF16A}"/>
            </a:ext>
          </a:extLst>
        </xdr:cNvPr>
        <xdr:cNvCxnSpPr>
          <a:stCxn id="27" idx="3"/>
          <a:endCxn id="29" idx="1"/>
        </xdr:cNvCxnSpPr>
      </xdr:nvCxnSpPr>
      <xdr:spPr>
        <a:xfrm>
          <a:off x="7696200" y="3760470"/>
          <a:ext cx="1021080" cy="2286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320040</xdr:colOff>
      <xdr:row>47</xdr:row>
      <xdr:rowOff>102870</xdr:rowOff>
    </xdr:from>
    <xdr:to>
      <xdr:col>14</xdr:col>
      <xdr:colOff>0</xdr:colOff>
      <xdr:row>48</xdr:row>
      <xdr:rowOff>102870</xdr:rowOff>
    </xdr:to>
    <xdr:cxnSp macro="">
      <xdr:nvCxnSpPr>
        <xdr:cNvPr id="97" name="直線矢印コネクタ 96">
          <a:extLst>
            <a:ext uri="{FF2B5EF4-FFF2-40B4-BE49-F238E27FC236}">
              <a16:creationId xmlns:a16="http://schemas.microsoft.com/office/drawing/2014/main" id="{4FAEDFF7-263D-4CF2-96F6-F942B418C7A3}"/>
            </a:ext>
          </a:extLst>
        </xdr:cNvPr>
        <xdr:cNvCxnSpPr>
          <a:stCxn id="23" idx="3"/>
          <a:endCxn id="86" idx="1"/>
        </xdr:cNvCxnSpPr>
      </xdr:nvCxnSpPr>
      <xdr:spPr>
        <a:xfrm>
          <a:off x="7696200" y="4674870"/>
          <a:ext cx="1021080" cy="2286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0</xdr:colOff>
      <xdr:row>50</xdr:row>
      <xdr:rowOff>0</xdr:rowOff>
    </xdr:from>
    <xdr:to>
      <xdr:col>12</xdr:col>
      <xdr:colOff>320040</xdr:colOff>
      <xdr:row>50</xdr:row>
      <xdr:rowOff>205740</xdr:rowOff>
    </xdr:to>
    <xdr:sp macro="" textlink="">
      <xdr:nvSpPr>
        <xdr:cNvPr id="108" name="正方形/長方形 107">
          <a:extLst>
            <a:ext uri="{FF2B5EF4-FFF2-40B4-BE49-F238E27FC236}">
              <a16:creationId xmlns:a16="http://schemas.microsoft.com/office/drawing/2014/main" id="{6F6197FE-C1AA-47C4-9D11-B51729651C0B}"/>
            </a:ext>
          </a:extLst>
        </xdr:cNvPr>
        <xdr:cNvSpPr/>
      </xdr:nvSpPr>
      <xdr:spPr>
        <a:xfrm>
          <a:off x="6035040" y="5257800"/>
          <a:ext cx="1661160" cy="20574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drug_exposure_m</a:t>
          </a:r>
          <a:endParaRPr kumimoji="1" lang="ja-JP" altLang="en-US" sz="1000"/>
        </a:p>
      </xdr:txBody>
    </xdr:sp>
    <xdr:clientData/>
  </xdr:twoCellAnchor>
  <xdr:twoCellAnchor>
    <xdr:from>
      <xdr:col>14</xdr:col>
      <xdr:colOff>0</xdr:colOff>
      <xdr:row>50</xdr:row>
      <xdr:rowOff>0</xdr:rowOff>
    </xdr:from>
    <xdr:to>
      <xdr:col>16</xdr:col>
      <xdr:colOff>320040</xdr:colOff>
      <xdr:row>50</xdr:row>
      <xdr:rowOff>205740</xdr:rowOff>
    </xdr:to>
    <xdr:sp macro="" textlink="">
      <xdr:nvSpPr>
        <xdr:cNvPr id="109" name="正方形/長方形 108">
          <a:extLst>
            <a:ext uri="{FF2B5EF4-FFF2-40B4-BE49-F238E27FC236}">
              <a16:creationId xmlns:a16="http://schemas.microsoft.com/office/drawing/2014/main" id="{88DC8EB9-6F10-4A0B-928D-399E737BCE36}"/>
            </a:ext>
          </a:extLst>
        </xdr:cNvPr>
        <xdr:cNvSpPr/>
      </xdr:nvSpPr>
      <xdr:spPr>
        <a:xfrm>
          <a:off x="8717280" y="5257800"/>
          <a:ext cx="1661160" cy="20574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solidFill>
                <a:schemeClr val="lt1"/>
              </a:solidFill>
              <a:effectLst/>
              <a:latin typeface="+mn-lt"/>
              <a:ea typeface="+mn-ea"/>
              <a:cs typeface="+mn-cs"/>
            </a:rPr>
            <a:t>drug_exposure</a:t>
          </a:r>
          <a:r>
            <a:rPr kumimoji="1" lang="en-US" altLang="ja-JP" sz="1000"/>
            <a:t>_f</a:t>
          </a:r>
          <a:endParaRPr kumimoji="1" lang="ja-JP" altLang="en-US" sz="1000"/>
        </a:p>
      </xdr:txBody>
    </xdr:sp>
    <xdr:clientData/>
  </xdr:twoCellAnchor>
  <xdr:twoCellAnchor>
    <xdr:from>
      <xdr:col>14</xdr:col>
      <xdr:colOff>0</xdr:colOff>
      <xdr:row>51</xdr:row>
      <xdr:rowOff>0</xdr:rowOff>
    </xdr:from>
    <xdr:to>
      <xdr:col>16</xdr:col>
      <xdr:colOff>320040</xdr:colOff>
      <xdr:row>51</xdr:row>
      <xdr:rowOff>205740</xdr:rowOff>
    </xdr:to>
    <xdr:sp macro="" textlink="">
      <xdr:nvSpPr>
        <xdr:cNvPr id="110" name="正方形/長方形 109">
          <a:extLst>
            <a:ext uri="{FF2B5EF4-FFF2-40B4-BE49-F238E27FC236}">
              <a16:creationId xmlns:a16="http://schemas.microsoft.com/office/drawing/2014/main" id="{E26C2924-EED5-4322-A67A-4727AAD189A0}"/>
            </a:ext>
          </a:extLst>
        </xdr:cNvPr>
        <xdr:cNvSpPr/>
      </xdr:nvSpPr>
      <xdr:spPr>
        <a:xfrm>
          <a:off x="8717280" y="5486400"/>
          <a:ext cx="1661160" cy="205740"/>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solidFill>
                <a:schemeClr val="lt1"/>
              </a:solidFill>
              <a:effectLst/>
              <a:latin typeface="+mn-lt"/>
              <a:ea typeface="+mn-ea"/>
              <a:cs typeface="+mn-cs"/>
            </a:rPr>
            <a:t>drug_exposure</a:t>
          </a:r>
          <a:r>
            <a:rPr kumimoji="1" lang="en-US" altLang="ja-JP" sz="1000"/>
            <a:t>_e</a:t>
          </a:r>
          <a:endParaRPr kumimoji="1" lang="ja-JP" altLang="en-US" sz="1000"/>
        </a:p>
      </xdr:txBody>
    </xdr:sp>
    <xdr:clientData/>
  </xdr:twoCellAnchor>
  <xdr:twoCellAnchor>
    <xdr:from>
      <xdr:col>18</xdr:col>
      <xdr:colOff>0</xdr:colOff>
      <xdr:row>50</xdr:row>
      <xdr:rowOff>0</xdr:rowOff>
    </xdr:from>
    <xdr:to>
      <xdr:col>20</xdr:col>
      <xdr:colOff>320040</xdr:colOff>
      <xdr:row>50</xdr:row>
      <xdr:rowOff>205740</xdr:rowOff>
    </xdr:to>
    <xdr:sp macro="" textlink="">
      <xdr:nvSpPr>
        <xdr:cNvPr id="111" name="正方形/長方形 110">
          <a:extLst>
            <a:ext uri="{FF2B5EF4-FFF2-40B4-BE49-F238E27FC236}">
              <a16:creationId xmlns:a16="http://schemas.microsoft.com/office/drawing/2014/main" id="{0411885A-2C85-46FF-A9C4-6DB09287BD48}"/>
            </a:ext>
          </a:extLst>
        </xdr:cNvPr>
        <xdr:cNvSpPr/>
      </xdr:nvSpPr>
      <xdr:spPr>
        <a:xfrm>
          <a:off x="11399520" y="5257800"/>
          <a:ext cx="1661160" cy="205740"/>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solidFill>
                <a:srgbClr val="0000CC"/>
              </a:solidFill>
            </a:rPr>
            <a:t>drug_exposure</a:t>
          </a:r>
          <a:endParaRPr kumimoji="1" lang="ja-JP" altLang="en-US" sz="1000">
            <a:solidFill>
              <a:srgbClr val="0000CC"/>
            </a:solidFill>
          </a:endParaRPr>
        </a:p>
      </xdr:txBody>
    </xdr:sp>
    <xdr:clientData/>
  </xdr:twoCellAnchor>
  <xdr:twoCellAnchor>
    <xdr:from>
      <xdr:col>10</xdr:col>
      <xdr:colOff>0</xdr:colOff>
      <xdr:row>53</xdr:row>
      <xdr:rowOff>0</xdr:rowOff>
    </xdr:from>
    <xdr:to>
      <xdr:col>12</xdr:col>
      <xdr:colOff>320040</xdr:colOff>
      <xdr:row>53</xdr:row>
      <xdr:rowOff>205740</xdr:rowOff>
    </xdr:to>
    <xdr:sp macro="" textlink="">
      <xdr:nvSpPr>
        <xdr:cNvPr id="112" name="正方形/長方形 111">
          <a:extLst>
            <a:ext uri="{FF2B5EF4-FFF2-40B4-BE49-F238E27FC236}">
              <a16:creationId xmlns:a16="http://schemas.microsoft.com/office/drawing/2014/main" id="{22D4510F-6D56-473A-9EDA-B6A50CDDE6B9}"/>
            </a:ext>
          </a:extLst>
        </xdr:cNvPr>
        <xdr:cNvSpPr/>
      </xdr:nvSpPr>
      <xdr:spPr>
        <a:xfrm>
          <a:off x="6035040" y="5943600"/>
          <a:ext cx="1661160" cy="20574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procedure_occurrence_m</a:t>
          </a:r>
          <a:endParaRPr kumimoji="1" lang="ja-JP" altLang="en-US" sz="1000"/>
        </a:p>
      </xdr:txBody>
    </xdr:sp>
    <xdr:clientData/>
  </xdr:twoCellAnchor>
  <xdr:twoCellAnchor>
    <xdr:from>
      <xdr:col>14</xdr:col>
      <xdr:colOff>0</xdr:colOff>
      <xdr:row>53</xdr:row>
      <xdr:rowOff>0</xdr:rowOff>
    </xdr:from>
    <xdr:to>
      <xdr:col>16</xdr:col>
      <xdr:colOff>320040</xdr:colOff>
      <xdr:row>53</xdr:row>
      <xdr:rowOff>205740</xdr:rowOff>
    </xdr:to>
    <xdr:sp macro="" textlink="">
      <xdr:nvSpPr>
        <xdr:cNvPr id="113" name="正方形/長方形 112">
          <a:extLst>
            <a:ext uri="{FF2B5EF4-FFF2-40B4-BE49-F238E27FC236}">
              <a16:creationId xmlns:a16="http://schemas.microsoft.com/office/drawing/2014/main" id="{304B76A0-9B42-4ADF-9B50-CF39F58D6B1F}"/>
            </a:ext>
          </a:extLst>
        </xdr:cNvPr>
        <xdr:cNvSpPr/>
      </xdr:nvSpPr>
      <xdr:spPr>
        <a:xfrm>
          <a:off x="8717280" y="5943600"/>
          <a:ext cx="1661160" cy="20574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solidFill>
                <a:schemeClr val="lt1"/>
              </a:solidFill>
              <a:effectLst/>
              <a:latin typeface="+mn-lt"/>
              <a:ea typeface="+mn-ea"/>
              <a:cs typeface="+mn-cs"/>
            </a:rPr>
            <a:t>procedure_occurrence</a:t>
          </a:r>
          <a:r>
            <a:rPr kumimoji="1" lang="en-US" altLang="ja-JP" sz="1000"/>
            <a:t>_f</a:t>
          </a:r>
          <a:endParaRPr kumimoji="1" lang="ja-JP" altLang="en-US" sz="1000"/>
        </a:p>
      </xdr:txBody>
    </xdr:sp>
    <xdr:clientData/>
  </xdr:twoCellAnchor>
  <xdr:twoCellAnchor>
    <xdr:from>
      <xdr:col>14</xdr:col>
      <xdr:colOff>0</xdr:colOff>
      <xdr:row>54</xdr:row>
      <xdr:rowOff>0</xdr:rowOff>
    </xdr:from>
    <xdr:to>
      <xdr:col>16</xdr:col>
      <xdr:colOff>320040</xdr:colOff>
      <xdr:row>54</xdr:row>
      <xdr:rowOff>205740</xdr:rowOff>
    </xdr:to>
    <xdr:sp macro="" textlink="">
      <xdr:nvSpPr>
        <xdr:cNvPr id="114" name="正方形/長方形 113">
          <a:extLst>
            <a:ext uri="{FF2B5EF4-FFF2-40B4-BE49-F238E27FC236}">
              <a16:creationId xmlns:a16="http://schemas.microsoft.com/office/drawing/2014/main" id="{65113450-22D2-44C9-A7F5-CF0D04404F00}"/>
            </a:ext>
          </a:extLst>
        </xdr:cNvPr>
        <xdr:cNvSpPr/>
      </xdr:nvSpPr>
      <xdr:spPr>
        <a:xfrm>
          <a:off x="8717280" y="6172200"/>
          <a:ext cx="1661160" cy="205740"/>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solidFill>
                <a:schemeClr val="lt1"/>
              </a:solidFill>
              <a:effectLst/>
              <a:latin typeface="+mn-lt"/>
              <a:ea typeface="+mn-ea"/>
              <a:cs typeface="+mn-cs"/>
            </a:rPr>
            <a:t>procedure_occurrence</a:t>
          </a:r>
          <a:r>
            <a:rPr kumimoji="1" lang="en-US" altLang="ja-JP" sz="1000"/>
            <a:t>_e</a:t>
          </a:r>
          <a:endParaRPr kumimoji="1" lang="ja-JP" altLang="en-US" sz="1000"/>
        </a:p>
      </xdr:txBody>
    </xdr:sp>
    <xdr:clientData/>
  </xdr:twoCellAnchor>
  <xdr:twoCellAnchor>
    <xdr:from>
      <xdr:col>10</xdr:col>
      <xdr:colOff>0</xdr:colOff>
      <xdr:row>56</xdr:row>
      <xdr:rowOff>0</xdr:rowOff>
    </xdr:from>
    <xdr:to>
      <xdr:col>12</xdr:col>
      <xdr:colOff>320040</xdr:colOff>
      <xdr:row>56</xdr:row>
      <xdr:rowOff>205740</xdr:rowOff>
    </xdr:to>
    <xdr:sp macro="" textlink="">
      <xdr:nvSpPr>
        <xdr:cNvPr id="117" name="正方形/長方形 116">
          <a:extLst>
            <a:ext uri="{FF2B5EF4-FFF2-40B4-BE49-F238E27FC236}">
              <a16:creationId xmlns:a16="http://schemas.microsoft.com/office/drawing/2014/main" id="{4321A2D3-53FE-49D1-9B80-27D2986C8B90}"/>
            </a:ext>
          </a:extLst>
        </xdr:cNvPr>
        <xdr:cNvSpPr/>
      </xdr:nvSpPr>
      <xdr:spPr>
        <a:xfrm>
          <a:off x="6035040" y="6629400"/>
          <a:ext cx="1661160" cy="20574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device_exposure_m</a:t>
          </a:r>
          <a:endParaRPr kumimoji="1" lang="ja-JP" altLang="en-US" sz="1000"/>
        </a:p>
      </xdr:txBody>
    </xdr:sp>
    <xdr:clientData/>
  </xdr:twoCellAnchor>
  <xdr:twoCellAnchor>
    <xdr:from>
      <xdr:col>14</xdr:col>
      <xdr:colOff>0</xdr:colOff>
      <xdr:row>56</xdr:row>
      <xdr:rowOff>0</xdr:rowOff>
    </xdr:from>
    <xdr:to>
      <xdr:col>16</xdr:col>
      <xdr:colOff>320040</xdr:colOff>
      <xdr:row>56</xdr:row>
      <xdr:rowOff>205740</xdr:rowOff>
    </xdr:to>
    <xdr:sp macro="" textlink="">
      <xdr:nvSpPr>
        <xdr:cNvPr id="118" name="正方形/長方形 117">
          <a:extLst>
            <a:ext uri="{FF2B5EF4-FFF2-40B4-BE49-F238E27FC236}">
              <a16:creationId xmlns:a16="http://schemas.microsoft.com/office/drawing/2014/main" id="{7079EC41-990A-4D42-902E-DAEBF8DD380E}"/>
            </a:ext>
          </a:extLst>
        </xdr:cNvPr>
        <xdr:cNvSpPr/>
      </xdr:nvSpPr>
      <xdr:spPr>
        <a:xfrm>
          <a:off x="8717280" y="6629400"/>
          <a:ext cx="1661160" cy="20574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solidFill>
                <a:schemeClr val="lt1"/>
              </a:solidFill>
              <a:effectLst/>
              <a:latin typeface="+mn-lt"/>
              <a:ea typeface="+mn-ea"/>
              <a:cs typeface="+mn-cs"/>
            </a:rPr>
            <a:t>device_exposure</a:t>
          </a:r>
          <a:r>
            <a:rPr kumimoji="1" lang="en-US" altLang="ja-JP" sz="1000"/>
            <a:t>_f</a:t>
          </a:r>
          <a:endParaRPr kumimoji="1" lang="ja-JP" altLang="en-US" sz="1000"/>
        </a:p>
      </xdr:txBody>
    </xdr:sp>
    <xdr:clientData/>
  </xdr:twoCellAnchor>
  <xdr:twoCellAnchor>
    <xdr:from>
      <xdr:col>14</xdr:col>
      <xdr:colOff>0</xdr:colOff>
      <xdr:row>57</xdr:row>
      <xdr:rowOff>0</xdr:rowOff>
    </xdr:from>
    <xdr:to>
      <xdr:col>16</xdr:col>
      <xdr:colOff>320040</xdr:colOff>
      <xdr:row>57</xdr:row>
      <xdr:rowOff>205740</xdr:rowOff>
    </xdr:to>
    <xdr:sp macro="" textlink="">
      <xdr:nvSpPr>
        <xdr:cNvPr id="119" name="正方形/長方形 118">
          <a:extLst>
            <a:ext uri="{FF2B5EF4-FFF2-40B4-BE49-F238E27FC236}">
              <a16:creationId xmlns:a16="http://schemas.microsoft.com/office/drawing/2014/main" id="{2085071E-9BD4-4755-A98B-4006181C1719}"/>
            </a:ext>
          </a:extLst>
        </xdr:cNvPr>
        <xdr:cNvSpPr/>
      </xdr:nvSpPr>
      <xdr:spPr>
        <a:xfrm>
          <a:off x="8717280" y="6858000"/>
          <a:ext cx="1661160" cy="205740"/>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a:solidFill>
                <a:schemeClr val="lt1"/>
              </a:solidFill>
              <a:effectLst/>
              <a:latin typeface="+mn-lt"/>
              <a:ea typeface="+mn-ea"/>
              <a:cs typeface="+mn-cs"/>
            </a:rPr>
            <a:t>device_exposure</a:t>
          </a:r>
          <a:r>
            <a:rPr kumimoji="1" lang="en-US" altLang="ja-JP" sz="1000"/>
            <a:t>_e</a:t>
          </a:r>
          <a:endParaRPr kumimoji="1" lang="ja-JP" altLang="en-US" sz="1000"/>
        </a:p>
      </xdr:txBody>
    </xdr:sp>
    <xdr:clientData/>
  </xdr:twoCellAnchor>
  <xdr:twoCellAnchor>
    <xdr:from>
      <xdr:col>18</xdr:col>
      <xdr:colOff>0</xdr:colOff>
      <xdr:row>53</xdr:row>
      <xdr:rowOff>0</xdr:rowOff>
    </xdr:from>
    <xdr:to>
      <xdr:col>20</xdr:col>
      <xdr:colOff>320040</xdr:colOff>
      <xdr:row>53</xdr:row>
      <xdr:rowOff>205740</xdr:rowOff>
    </xdr:to>
    <xdr:sp macro="" textlink="">
      <xdr:nvSpPr>
        <xdr:cNvPr id="120" name="正方形/長方形 119">
          <a:extLst>
            <a:ext uri="{FF2B5EF4-FFF2-40B4-BE49-F238E27FC236}">
              <a16:creationId xmlns:a16="http://schemas.microsoft.com/office/drawing/2014/main" id="{6854BD1B-55B2-4AA1-AD41-75B60C574E6C}"/>
            </a:ext>
          </a:extLst>
        </xdr:cNvPr>
        <xdr:cNvSpPr/>
      </xdr:nvSpPr>
      <xdr:spPr>
        <a:xfrm>
          <a:off x="11399520" y="5943600"/>
          <a:ext cx="1661160" cy="205740"/>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solidFill>
                <a:srgbClr val="0000CC"/>
              </a:solidFill>
            </a:rPr>
            <a:t>procedure_occurrence</a:t>
          </a:r>
          <a:endParaRPr kumimoji="1" lang="ja-JP" altLang="en-US" sz="1000">
            <a:solidFill>
              <a:srgbClr val="0000CC"/>
            </a:solidFill>
          </a:endParaRPr>
        </a:p>
      </xdr:txBody>
    </xdr:sp>
    <xdr:clientData/>
  </xdr:twoCellAnchor>
  <xdr:twoCellAnchor>
    <xdr:from>
      <xdr:col>18</xdr:col>
      <xdr:colOff>0</xdr:colOff>
      <xdr:row>56</xdr:row>
      <xdr:rowOff>0</xdr:rowOff>
    </xdr:from>
    <xdr:to>
      <xdr:col>20</xdr:col>
      <xdr:colOff>320040</xdr:colOff>
      <xdr:row>56</xdr:row>
      <xdr:rowOff>205740</xdr:rowOff>
    </xdr:to>
    <xdr:sp macro="" textlink="">
      <xdr:nvSpPr>
        <xdr:cNvPr id="121" name="正方形/長方形 120">
          <a:extLst>
            <a:ext uri="{FF2B5EF4-FFF2-40B4-BE49-F238E27FC236}">
              <a16:creationId xmlns:a16="http://schemas.microsoft.com/office/drawing/2014/main" id="{FDE657F6-8A9C-4F47-A86B-6E0748C3A40C}"/>
            </a:ext>
          </a:extLst>
        </xdr:cNvPr>
        <xdr:cNvSpPr/>
      </xdr:nvSpPr>
      <xdr:spPr>
        <a:xfrm>
          <a:off x="11399520" y="6629400"/>
          <a:ext cx="1661160" cy="205740"/>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solidFill>
                <a:srgbClr val="0000CC"/>
              </a:solidFill>
            </a:rPr>
            <a:t>device_exposure</a:t>
          </a:r>
          <a:endParaRPr kumimoji="1" lang="ja-JP" altLang="en-US" sz="1000">
            <a:solidFill>
              <a:srgbClr val="0000CC"/>
            </a:solidFill>
          </a:endParaRPr>
        </a:p>
      </xdr:txBody>
    </xdr:sp>
    <xdr:clientData/>
  </xdr:twoCellAnchor>
  <xdr:twoCellAnchor>
    <xdr:from>
      <xdr:col>10</xdr:col>
      <xdr:colOff>0</xdr:colOff>
      <xdr:row>59</xdr:row>
      <xdr:rowOff>0</xdr:rowOff>
    </xdr:from>
    <xdr:to>
      <xdr:col>12</xdr:col>
      <xdr:colOff>320040</xdr:colOff>
      <xdr:row>59</xdr:row>
      <xdr:rowOff>205740</xdr:rowOff>
    </xdr:to>
    <xdr:sp macro="" textlink="">
      <xdr:nvSpPr>
        <xdr:cNvPr id="122" name="正方形/長方形 121">
          <a:extLst>
            <a:ext uri="{FF2B5EF4-FFF2-40B4-BE49-F238E27FC236}">
              <a16:creationId xmlns:a16="http://schemas.microsoft.com/office/drawing/2014/main" id="{524669E0-451A-4344-B06A-5AE2856E746D}"/>
            </a:ext>
          </a:extLst>
        </xdr:cNvPr>
        <xdr:cNvSpPr/>
      </xdr:nvSpPr>
      <xdr:spPr>
        <a:xfrm>
          <a:off x="6035040" y="7315200"/>
          <a:ext cx="1661160" cy="20574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measurement_m</a:t>
          </a:r>
          <a:endParaRPr kumimoji="1" lang="ja-JP" altLang="en-US" sz="1000"/>
        </a:p>
      </xdr:txBody>
    </xdr:sp>
    <xdr:clientData/>
  </xdr:twoCellAnchor>
  <xdr:twoCellAnchor>
    <xdr:from>
      <xdr:col>10</xdr:col>
      <xdr:colOff>0</xdr:colOff>
      <xdr:row>62</xdr:row>
      <xdr:rowOff>0</xdr:rowOff>
    </xdr:from>
    <xdr:to>
      <xdr:col>12</xdr:col>
      <xdr:colOff>320040</xdr:colOff>
      <xdr:row>62</xdr:row>
      <xdr:rowOff>205740</xdr:rowOff>
    </xdr:to>
    <xdr:sp macro="" textlink="">
      <xdr:nvSpPr>
        <xdr:cNvPr id="123" name="正方形/長方形 122">
          <a:extLst>
            <a:ext uri="{FF2B5EF4-FFF2-40B4-BE49-F238E27FC236}">
              <a16:creationId xmlns:a16="http://schemas.microsoft.com/office/drawing/2014/main" id="{5BB542AF-E60F-4160-9C02-B1886EF653FB}"/>
            </a:ext>
          </a:extLst>
        </xdr:cNvPr>
        <xdr:cNvSpPr/>
      </xdr:nvSpPr>
      <xdr:spPr>
        <a:xfrm>
          <a:off x="6035040" y="8001000"/>
          <a:ext cx="1661160" cy="20574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obesrvation_m</a:t>
          </a:r>
          <a:endParaRPr kumimoji="1" lang="ja-JP" altLang="en-US" sz="1000"/>
        </a:p>
      </xdr:txBody>
    </xdr:sp>
    <xdr:clientData/>
  </xdr:twoCellAnchor>
  <xdr:twoCellAnchor>
    <xdr:from>
      <xdr:col>10</xdr:col>
      <xdr:colOff>0</xdr:colOff>
      <xdr:row>65</xdr:row>
      <xdr:rowOff>0</xdr:rowOff>
    </xdr:from>
    <xdr:to>
      <xdr:col>12</xdr:col>
      <xdr:colOff>320040</xdr:colOff>
      <xdr:row>65</xdr:row>
      <xdr:rowOff>205740</xdr:rowOff>
    </xdr:to>
    <xdr:sp macro="" textlink="">
      <xdr:nvSpPr>
        <xdr:cNvPr id="124" name="正方形/長方形 123">
          <a:extLst>
            <a:ext uri="{FF2B5EF4-FFF2-40B4-BE49-F238E27FC236}">
              <a16:creationId xmlns:a16="http://schemas.microsoft.com/office/drawing/2014/main" id="{56934F67-156D-445E-BC47-CE39B91542AE}"/>
            </a:ext>
          </a:extLst>
        </xdr:cNvPr>
        <xdr:cNvSpPr/>
      </xdr:nvSpPr>
      <xdr:spPr>
        <a:xfrm>
          <a:off x="6035040" y="8686800"/>
          <a:ext cx="1661160" cy="20574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specimen_m</a:t>
          </a:r>
          <a:endParaRPr kumimoji="1" lang="ja-JP" altLang="en-US" sz="1000"/>
        </a:p>
      </xdr:txBody>
    </xdr:sp>
    <xdr:clientData/>
  </xdr:twoCellAnchor>
  <xdr:twoCellAnchor>
    <xdr:from>
      <xdr:col>14</xdr:col>
      <xdr:colOff>0</xdr:colOff>
      <xdr:row>59</xdr:row>
      <xdr:rowOff>0</xdr:rowOff>
    </xdr:from>
    <xdr:to>
      <xdr:col>16</xdr:col>
      <xdr:colOff>320040</xdr:colOff>
      <xdr:row>59</xdr:row>
      <xdr:rowOff>205740</xdr:rowOff>
    </xdr:to>
    <xdr:sp macro="" textlink="">
      <xdr:nvSpPr>
        <xdr:cNvPr id="125" name="正方形/長方形 124">
          <a:extLst>
            <a:ext uri="{FF2B5EF4-FFF2-40B4-BE49-F238E27FC236}">
              <a16:creationId xmlns:a16="http://schemas.microsoft.com/office/drawing/2014/main" id="{23B81280-F411-4288-A370-BC00800F5BFF}"/>
            </a:ext>
          </a:extLst>
        </xdr:cNvPr>
        <xdr:cNvSpPr/>
      </xdr:nvSpPr>
      <xdr:spPr>
        <a:xfrm>
          <a:off x="8717280" y="7315200"/>
          <a:ext cx="1661160" cy="20574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solidFill>
                <a:schemeClr val="lt1"/>
              </a:solidFill>
              <a:effectLst/>
              <a:latin typeface="+mn-lt"/>
              <a:ea typeface="+mn-ea"/>
              <a:cs typeface="+mn-cs"/>
            </a:rPr>
            <a:t>measurement</a:t>
          </a:r>
          <a:r>
            <a:rPr kumimoji="1" lang="en-US" altLang="ja-JP" sz="1000"/>
            <a:t>_f</a:t>
          </a:r>
          <a:endParaRPr kumimoji="1" lang="ja-JP" altLang="en-US" sz="1000"/>
        </a:p>
      </xdr:txBody>
    </xdr:sp>
    <xdr:clientData/>
  </xdr:twoCellAnchor>
  <xdr:twoCellAnchor>
    <xdr:from>
      <xdr:col>14</xdr:col>
      <xdr:colOff>0</xdr:colOff>
      <xdr:row>60</xdr:row>
      <xdr:rowOff>0</xdr:rowOff>
    </xdr:from>
    <xdr:to>
      <xdr:col>16</xdr:col>
      <xdr:colOff>320040</xdr:colOff>
      <xdr:row>60</xdr:row>
      <xdr:rowOff>205740</xdr:rowOff>
    </xdr:to>
    <xdr:sp macro="" textlink="">
      <xdr:nvSpPr>
        <xdr:cNvPr id="126" name="正方形/長方形 125">
          <a:extLst>
            <a:ext uri="{FF2B5EF4-FFF2-40B4-BE49-F238E27FC236}">
              <a16:creationId xmlns:a16="http://schemas.microsoft.com/office/drawing/2014/main" id="{7310609D-8F36-4509-9F9C-B82FCB4B66B8}"/>
            </a:ext>
          </a:extLst>
        </xdr:cNvPr>
        <xdr:cNvSpPr/>
      </xdr:nvSpPr>
      <xdr:spPr>
        <a:xfrm>
          <a:off x="8717280" y="7543800"/>
          <a:ext cx="1661160" cy="205740"/>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a:solidFill>
                <a:schemeClr val="lt1"/>
              </a:solidFill>
              <a:effectLst/>
              <a:latin typeface="+mn-lt"/>
              <a:ea typeface="+mn-ea"/>
              <a:cs typeface="+mn-cs"/>
            </a:rPr>
            <a:t>measurement</a:t>
          </a:r>
          <a:r>
            <a:rPr kumimoji="1" lang="en-US" altLang="ja-JP" sz="1000"/>
            <a:t>_e</a:t>
          </a:r>
          <a:endParaRPr kumimoji="1" lang="ja-JP" altLang="en-US" sz="1000"/>
        </a:p>
      </xdr:txBody>
    </xdr:sp>
    <xdr:clientData/>
  </xdr:twoCellAnchor>
  <xdr:twoCellAnchor>
    <xdr:from>
      <xdr:col>14</xdr:col>
      <xdr:colOff>0</xdr:colOff>
      <xdr:row>62</xdr:row>
      <xdr:rowOff>0</xdr:rowOff>
    </xdr:from>
    <xdr:to>
      <xdr:col>16</xdr:col>
      <xdr:colOff>320040</xdr:colOff>
      <xdr:row>62</xdr:row>
      <xdr:rowOff>205740</xdr:rowOff>
    </xdr:to>
    <xdr:sp macro="" textlink="">
      <xdr:nvSpPr>
        <xdr:cNvPr id="127" name="正方形/長方形 126">
          <a:extLst>
            <a:ext uri="{FF2B5EF4-FFF2-40B4-BE49-F238E27FC236}">
              <a16:creationId xmlns:a16="http://schemas.microsoft.com/office/drawing/2014/main" id="{5CFDBFFD-040B-4FA9-B094-08BD4D91770A}"/>
            </a:ext>
          </a:extLst>
        </xdr:cNvPr>
        <xdr:cNvSpPr/>
      </xdr:nvSpPr>
      <xdr:spPr>
        <a:xfrm>
          <a:off x="8717280" y="8001000"/>
          <a:ext cx="1661160" cy="20574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solidFill>
                <a:schemeClr val="lt1"/>
              </a:solidFill>
              <a:effectLst/>
              <a:latin typeface="+mn-lt"/>
              <a:ea typeface="+mn-ea"/>
              <a:cs typeface="+mn-cs"/>
            </a:rPr>
            <a:t>observation</a:t>
          </a:r>
          <a:r>
            <a:rPr kumimoji="1" lang="en-US" altLang="ja-JP" sz="1000"/>
            <a:t>_f</a:t>
          </a:r>
          <a:endParaRPr kumimoji="1" lang="ja-JP" altLang="en-US" sz="1000"/>
        </a:p>
      </xdr:txBody>
    </xdr:sp>
    <xdr:clientData/>
  </xdr:twoCellAnchor>
  <xdr:twoCellAnchor>
    <xdr:from>
      <xdr:col>14</xdr:col>
      <xdr:colOff>0</xdr:colOff>
      <xdr:row>63</xdr:row>
      <xdr:rowOff>0</xdr:rowOff>
    </xdr:from>
    <xdr:to>
      <xdr:col>16</xdr:col>
      <xdr:colOff>320040</xdr:colOff>
      <xdr:row>63</xdr:row>
      <xdr:rowOff>205740</xdr:rowOff>
    </xdr:to>
    <xdr:sp macro="" textlink="">
      <xdr:nvSpPr>
        <xdr:cNvPr id="128" name="正方形/長方形 127">
          <a:extLst>
            <a:ext uri="{FF2B5EF4-FFF2-40B4-BE49-F238E27FC236}">
              <a16:creationId xmlns:a16="http://schemas.microsoft.com/office/drawing/2014/main" id="{8E677651-CEF7-4D9C-9237-59FA541EB0E6}"/>
            </a:ext>
          </a:extLst>
        </xdr:cNvPr>
        <xdr:cNvSpPr/>
      </xdr:nvSpPr>
      <xdr:spPr>
        <a:xfrm>
          <a:off x="8717280" y="8229600"/>
          <a:ext cx="1661160" cy="205740"/>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a:solidFill>
                <a:schemeClr val="lt1"/>
              </a:solidFill>
              <a:effectLst/>
              <a:latin typeface="+mn-lt"/>
              <a:ea typeface="+mn-ea"/>
              <a:cs typeface="+mn-cs"/>
            </a:rPr>
            <a:t>observation</a:t>
          </a:r>
          <a:r>
            <a:rPr kumimoji="1" lang="en-US" altLang="ja-JP" sz="1000"/>
            <a:t>_e</a:t>
          </a:r>
          <a:endParaRPr kumimoji="1" lang="ja-JP" altLang="en-US" sz="1000"/>
        </a:p>
      </xdr:txBody>
    </xdr:sp>
    <xdr:clientData/>
  </xdr:twoCellAnchor>
  <xdr:twoCellAnchor>
    <xdr:from>
      <xdr:col>14</xdr:col>
      <xdr:colOff>0</xdr:colOff>
      <xdr:row>65</xdr:row>
      <xdr:rowOff>0</xdr:rowOff>
    </xdr:from>
    <xdr:to>
      <xdr:col>16</xdr:col>
      <xdr:colOff>320040</xdr:colOff>
      <xdr:row>65</xdr:row>
      <xdr:rowOff>205740</xdr:rowOff>
    </xdr:to>
    <xdr:sp macro="" textlink="">
      <xdr:nvSpPr>
        <xdr:cNvPr id="129" name="正方形/長方形 128">
          <a:extLst>
            <a:ext uri="{FF2B5EF4-FFF2-40B4-BE49-F238E27FC236}">
              <a16:creationId xmlns:a16="http://schemas.microsoft.com/office/drawing/2014/main" id="{DDC2BE72-9901-4CEA-A3BE-B5EE46E788AB}"/>
            </a:ext>
          </a:extLst>
        </xdr:cNvPr>
        <xdr:cNvSpPr/>
      </xdr:nvSpPr>
      <xdr:spPr>
        <a:xfrm>
          <a:off x="8717280" y="8686800"/>
          <a:ext cx="1661160" cy="20574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solidFill>
                <a:schemeClr val="lt1"/>
              </a:solidFill>
              <a:effectLst/>
              <a:latin typeface="+mn-lt"/>
              <a:ea typeface="+mn-ea"/>
              <a:cs typeface="+mn-cs"/>
            </a:rPr>
            <a:t>specimen</a:t>
          </a:r>
          <a:r>
            <a:rPr kumimoji="1" lang="en-US" altLang="ja-JP" sz="1000"/>
            <a:t>_f</a:t>
          </a:r>
          <a:endParaRPr kumimoji="1" lang="ja-JP" altLang="en-US" sz="1000"/>
        </a:p>
      </xdr:txBody>
    </xdr:sp>
    <xdr:clientData/>
  </xdr:twoCellAnchor>
  <xdr:twoCellAnchor>
    <xdr:from>
      <xdr:col>14</xdr:col>
      <xdr:colOff>0</xdr:colOff>
      <xdr:row>66</xdr:row>
      <xdr:rowOff>0</xdr:rowOff>
    </xdr:from>
    <xdr:to>
      <xdr:col>16</xdr:col>
      <xdr:colOff>320040</xdr:colOff>
      <xdr:row>66</xdr:row>
      <xdr:rowOff>205740</xdr:rowOff>
    </xdr:to>
    <xdr:sp macro="" textlink="">
      <xdr:nvSpPr>
        <xdr:cNvPr id="130" name="正方形/長方形 129">
          <a:extLst>
            <a:ext uri="{FF2B5EF4-FFF2-40B4-BE49-F238E27FC236}">
              <a16:creationId xmlns:a16="http://schemas.microsoft.com/office/drawing/2014/main" id="{8F62CBFB-6865-49AB-817C-0EF07E59FB22}"/>
            </a:ext>
          </a:extLst>
        </xdr:cNvPr>
        <xdr:cNvSpPr/>
      </xdr:nvSpPr>
      <xdr:spPr>
        <a:xfrm>
          <a:off x="8717280" y="8915400"/>
          <a:ext cx="1661160" cy="205740"/>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a:solidFill>
                <a:schemeClr val="lt1"/>
              </a:solidFill>
              <a:effectLst/>
              <a:latin typeface="+mn-lt"/>
              <a:ea typeface="+mn-ea"/>
              <a:cs typeface="+mn-cs"/>
            </a:rPr>
            <a:t>specimen</a:t>
          </a:r>
          <a:r>
            <a:rPr kumimoji="1" lang="en-US" altLang="ja-JP" sz="1000"/>
            <a:t>_e</a:t>
          </a:r>
          <a:endParaRPr kumimoji="1" lang="ja-JP" altLang="en-US" sz="1000"/>
        </a:p>
      </xdr:txBody>
    </xdr:sp>
    <xdr:clientData/>
  </xdr:twoCellAnchor>
  <xdr:twoCellAnchor>
    <xdr:from>
      <xdr:col>18</xdr:col>
      <xdr:colOff>0</xdr:colOff>
      <xdr:row>59</xdr:row>
      <xdr:rowOff>0</xdr:rowOff>
    </xdr:from>
    <xdr:to>
      <xdr:col>20</xdr:col>
      <xdr:colOff>320040</xdr:colOff>
      <xdr:row>59</xdr:row>
      <xdr:rowOff>205740</xdr:rowOff>
    </xdr:to>
    <xdr:sp macro="" textlink="">
      <xdr:nvSpPr>
        <xdr:cNvPr id="131" name="正方形/長方形 130">
          <a:extLst>
            <a:ext uri="{FF2B5EF4-FFF2-40B4-BE49-F238E27FC236}">
              <a16:creationId xmlns:a16="http://schemas.microsoft.com/office/drawing/2014/main" id="{19DD0424-25BE-4F96-8107-5FEE96B0ABA2}"/>
            </a:ext>
          </a:extLst>
        </xdr:cNvPr>
        <xdr:cNvSpPr/>
      </xdr:nvSpPr>
      <xdr:spPr>
        <a:xfrm>
          <a:off x="11399520" y="7315200"/>
          <a:ext cx="1661160" cy="205740"/>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solidFill>
                <a:srgbClr val="0000CC"/>
              </a:solidFill>
            </a:rPr>
            <a:t>measurement</a:t>
          </a:r>
          <a:endParaRPr kumimoji="1" lang="ja-JP" altLang="en-US" sz="1000">
            <a:solidFill>
              <a:srgbClr val="0000CC"/>
            </a:solidFill>
          </a:endParaRPr>
        </a:p>
      </xdr:txBody>
    </xdr:sp>
    <xdr:clientData/>
  </xdr:twoCellAnchor>
  <xdr:twoCellAnchor>
    <xdr:from>
      <xdr:col>18</xdr:col>
      <xdr:colOff>0</xdr:colOff>
      <xdr:row>62</xdr:row>
      <xdr:rowOff>0</xdr:rowOff>
    </xdr:from>
    <xdr:to>
      <xdr:col>20</xdr:col>
      <xdr:colOff>320040</xdr:colOff>
      <xdr:row>62</xdr:row>
      <xdr:rowOff>205740</xdr:rowOff>
    </xdr:to>
    <xdr:sp macro="" textlink="">
      <xdr:nvSpPr>
        <xdr:cNvPr id="132" name="正方形/長方形 131">
          <a:extLst>
            <a:ext uri="{FF2B5EF4-FFF2-40B4-BE49-F238E27FC236}">
              <a16:creationId xmlns:a16="http://schemas.microsoft.com/office/drawing/2014/main" id="{1FC56D4C-4190-4A79-A03B-100B81A1B5B7}"/>
            </a:ext>
          </a:extLst>
        </xdr:cNvPr>
        <xdr:cNvSpPr/>
      </xdr:nvSpPr>
      <xdr:spPr>
        <a:xfrm>
          <a:off x="11399520" y="8001000"/>
          <a:ext cx="1661160" cy="205740"/>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solidFill>
                <a:srgbClr val="0000CC"/>
              </a:solidFill>
            </a:rPr>
            <a:t>observation</a:t>
          </a:r>
          <a:endParaRPr kumimoji="1" lang="ja-JP" altLang="en-US" sz="1000">
            <a:solidFill>
              <a:srgbClr val="0000CC"/>
            </a:solidFill>
          </a:endParaRPr>
        </a:p>
      </xdr:txBody>
    </xdr:sp>
    <xdr:clientData/>
  </xdr:twoCellAnchor>
  <xdr:twoCellAnchor>
    <xdr:from>
      <xdr:col>18</xdr:col>
      <xdr:colOff>0</xdr:colOff>
      <xdr:row>65</xdr:row>
      <xdr:rowOff>0</xdr:rowOff>
    </xdr:from>
    <xdr:to>
      <xdr:col>20</xdr:col>
      <xdr:colOff>320040</xdr:colOff>
      <xdr:row>65</xdr:row>
      <xdr:rowOff>205740</xdr:rowOff>
    </xdr:to>
    <xdr:sp macro="" textlink="">
      <xdr:nvSpPr>
        <xdr:cNvPr id="133" name="正方形/長方形 132">
          <a:extLst>
            <a:ext uri="{FF2B5EF4-FFF2-40B4-BE49-F238E27FC236}">
              <a16:creationId xmlns:a16="http://schemas.microsoft.com/office/drawing/2014/main" id="{27C4FB8D-113C-421B-85B6-9A61A97A7F19}"/>
            </a:ext>
          </a:extLst>
        </xdr:cNvPr>
        <xdr:cNvSpPr/>
      </xdr:nvSpPr>
      <xdr:spPr>
        <a:xfrm>
          <a:off x="11399520" y="8686800"/>
          <a:ext cx="1661160" cy="205740"/>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solidFill>
                <a:srgbClr val="0000CC"/>
              </a:solidFill>
            </a:rPr>
            <a:t>specimen</a:t>
          </a:r>
          <a:endParaRPr kumimoji="1" lang="ja-JP" altLang="en-US" sz="1000">
            <a:solidFill>
              <a:srgbClr val="0000CC"/>
            </a:solidFill>
          </a:endParaRPr>
        </a:p>
      </xdr:txBody>
    </xdr:sp>
    <xdr:clientData/>
  </xdr:twoCellAnchor>
  <xdr:twoCellAnchor>
    <xdr:from>
      <xdr:col>14</xdr:col>
      <xdr:colOff>0</xdr:colOff>
      <xdr:row>69</xdr:row>
      <xdr:rowOff>0</xdr:rowOff>
    </xdr:from>
    <xdr:to>
      <xdr:col>16</xdr:col>
      <xdr:colOff>320040</xdr:colOff>
      <xdr:row>69</xdr:row>
      <xdr:rowOff>205740</xdr:rowOff>
    </xdr:to>
    <xdr:sp macro="" textlink="">
      <xdr:nvSpPr>
        <xdr:cNvPr id="134" name="正方形/長方形 133">
          <a:extLst>
            <a:ext uri="{FF2B5EF4-FFF2-40B4-BE49-F238E27FC236}">
              <a16:creationId xmlns:a16="http://schemas.microsoft.com/office/drawing/2014/main" id="{9C852F50-9217-4EF7-89D5-F04F9E787832}"/>
            </a:ext>
          </a:extLst>
        </xdr:cNvPr>
        <xdr:cNvSpPr/>
      </xdr:nvSpPr>
      <xdr:spPr>
        <a:xfrm>
          <a:off x="8717280" y="9601200"/>
          <a:ext cx="1661160" cy="20574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solidFill>
                <a:schemeClr val="lt1"/>
              </a:solidFill>
              <a:effectLst/>
              <a:latin typeface="+mn-lt"/>
              <a:ea typeface="+mn-ea"/>
              <a:cs typeface="+mn-cs"/>
            </a:rPr>
            <a:t>observation_period</a:t>
          </a:r>
          <a:r>
            <a:rPr kumimoji="1" lang="en-US" altLang="ja-JP" sz="1000"/>
            <a:t>_f</a:t>
          </a:r>
          <a:endParaRPr kumimoji="1" lang="ja-JP" altLang="en-US" sz="1000"/>
        </a:p>
      </xdr:txBody>
    </xdr:sp>
    <xdr:clientData/>
  </xdr:twoCellAnchor>
  <xdr:twoCellAnchor>
    <xdr:from>
      <xdr:col>14</xdr:col>
      <xdr:colOff>0</xdr:colOff>
      <xdr:row>71</xdr:row>
      <xdr:rowOff>0</xdr:rowOff>
    </xdr:from>
    <xdr:to>
      <xdr:col>16</xdr:col>
      <xdr:colOff>320040</xdr:colOff>
      <xdr:row>71</xdr:row>
      <xdr:rowOff>205740</xdr:rowOff>
    </xdr:to>
    <xdr:sp macro="" textlink="">
      <xdr:nvSpPr>
        <xdr:cNvPr id="135" name="正方形/長方形 134">
          <a:extLst>
            <a:ext uri="{FF2B5EF4-FFF2-40B4-BE49-F238E27FC236}">
              <a16:creationId xmlns:a16="http://schemas.microsoft.com/office/drawing/2014/main" id="{F8BC7584-C7B3-4DA9-9023-9F71F72D88FE}"/>
            </a:ext>
          </a:extLst>
        </xdr:cNvPr>
        <xdr:cNvSpPr/>
      </xdr:nvSpPr>
      <xdr:spPr>
        <a:xfrm>
          <a:off x="8717280" y="10058400"/>
          <a:ext cx="1661160" cy="20574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solidFill>
                <a:schemeClr val="lt1"/>
              </a:solidFill>
              <a:effectLst/>
              <a:latin typeface="+mn-lt"/>
              <a:ea typeface="+mn-ea"/>
              <a:cs typeface="+mn-cs"/>
            </a:rPr>
            <a:t>condition_era</a:t>
          </a:r>
          <a:r>
            <a:rPr kumimoji="1" lang="en-US" altLang="ja-JP" sz="1000"/>
            <a:t>_f</a:t>
          </a:r>
          <a:endParaRPr kumimoji="1" lang="ja-JP" altLang="en-US" sz="1000"/>
        </a:p>
      </xdr:txBody>
    </xdr:sp>
    <xdr:clientData/>
  </xdr:twoCellAnchor>
  <xdr:twoCellAnchor>
    <xdr:from>
      <xdr:col>14</xdr:col>
      <xdr:colOff>0</xdr:colOff>
      <xdr:row>73</xdr:row>
      <xdr:rowOff>0</xdr:rowOff>
    </xdr:from>
    <xdr:to>
      <xdr:col>16</xdr:col>
      <xdr:colOff>320040</xdr:colOff>
      <xdr:row>73</xdr:row>
      <xdr:rowOff>205740</xdr:rowOff>
    </xdr:to>
    <xdr:sp macro="" textlink="">
      <xdr:nvSpPr>
        <xdr:cNvPr id="136" name="正方形/長方形 135">
          <a:extLst>
            <a:ext uri="{FF2B5EF4-FFF2-40B4-BE49-F238E27FC236}">
              <a16:creationId xmlns:a16="http://schemas.microsoft.com/office/drawing/2014/main" id="{80455A5D-0EC5-45F9-A8BD-28FB7A40AE9A}"/>
            </a:ext>
          </a:extLst>
        </xdr:cNvPr>
        <xdr:cNvSpPr/>
      </xdr:nvSpPr>
      <xdr:spPr>
        <a:xfrm>
          <a:off x="8717280" y="10515600"/>
          <a:ext cx="1661160" cy="20574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solidFill>
                <a:schemeClr val="lt1"/>
              </a:solidFill>
              <a:effectLst/>
              <a:latin typeface="+mn-lt"/>
              <a:ea typeface="+mn-ea"/>
              <a:cs typeface="+mn-cs"/>
            </a:rPr>
            <a:t>dose_era</a:t>
          </a:r>
          <a:r>
            <a:rPr kumimoji="1" lang="en-US" altLang="ja-JP" sz="1000"/>
            <a:t>_f</a:t>
          </a:r>
          <a:endParaRPr kumimoji="1" lang="ja-JP" altLang="en-US" sz="1000"/>
        </a:p>
      </xdr:txBody>
    </xdr:sp>
    <xdr:clientData/>
  </xdr:twoCellAnchor>
  <xdr:twoCellAnchor>
    <xdr:from>
      <xdr:col>14</xdr:col>
      <xdr:colOff>0</xdr:colOff>
      <xdr:row>75</xdr:row>
      <xdr:rowOff>0</xdr:rowOff>
    </xdr:from>
    <xdr:to>
      <xdr:col>16</xdr:col>
      <xdr:colOff>320040</xdr:colOff>
      <xdr:row>75</xdr:row>
      <xdr:rowOff>205740</xdr:rowOff>
    </xdr:to>
    <xdr:sp macro="" textlink="">
      <xdr:nvSpPr>
        <xdr:cNvPr id="137" name="正方形/長方形 136">
          <a:extLst>
            <a:ext uri="{FF2B5EF4-FFF2-40B4-BE49-F238E27FC236}">
              <a16:creationId xmlns:a16="http://schemas.microsoft.com/office/drawing/2014/main" id="{F3B6A2BE-C331-43E2-B6A7-EB46C5F793EC}"/>
            </a:ext>
          </a:extLst>
        </xdr:cNvPr>
        <xdr:cNvSpPr/>
      </xdr:nvSpPr>
      <xdr:spPr>
        <a:xfrm>
          <a:off x="8717280" y="10972800"/>
          <a:ext cx="1661160" cy="20574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solidFill>
                <a:schemeClr val="lt1"/>
              </a:solidFill>
              <a:effectLst/>
              <a:latin typeface="+mn-lt"/>
              <a:ea typeface="+mn-ea"/>
              <a:cs typeface="+mn-cs"/>
            </a:rPr>
            <a:t>drug_era</a:t>
          </a:r>
          <a:r>
            <a:rPr kumimoji="1" lang="en-US" altLang="ja-JP" sz="1000"/>
            <a:t>_f</a:t>
          </a:r>
          <a:endParaRPr kumimoji="1" lang="ja-JP" altLang="en-US" sz="1000"/>
        </a:p>
      </xdr:txBody>
    </xdr:sp>
    <xdr:clientData/>
  </xdr:twoCellAnchor>
  <xdr:twoCellAnchor>
    <xdr:from>
      <xdr:col>12</xdr:col>
      <xdr:colOff>320040</xdr:colOff>
      <xdr:row>50</xdr:row>
      <xdr:rowOff>102870</xdr:rowOff>
    </xdr:from>
    <xdr:to>
      <xdr:col>14</xdr:col>
      <xdr:colOff>0</xdr:colOff>
      <xdr:row>51</xdr:row>
      <xdr:rowOff>102870</xdr:rowOff>
    </xdr:to>
    <xdr:cxnSp macro="">
      <xdr:nvCxnSpPr>
        <xdr:cNvPr id="138" name="直線矢印コネクタ 137">
          <a:extLst>
            <a:ext uri="{FF2B5EF4-FFF2-40B4-BE49-F238E27FC236}">
              <a16:creationId xmlns:a16="http://schemas.microsoft.com/office/drawing/2014/main" id="{690DFD71-C158-4E5A-9F07-5C18A12790AD}"/>
            </a:ext>
          </a:extLst>
        </xdr:cNvPr>
        <xdr:cNvCxnSpPr>
          <a:stCxn id="108" idx="3"/>
          <a:endCxn id="110" idx="1"/>
        </xdr:cNvCxnSpPr>
      </xdr:nvCxnSpPr>
      <xdr:spPr>
        <a:xfrm>
          <a:off x="7696200" y="5360670"/>
          <a:ext cx="1021080" cy="2286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320040</xdr:colOff>
      <xdr:row>50</xdr:row>
      <xdr:rowOff>102870</xdr:rowOff>
    </xdr:from>
    <xdr:to>
      <xdr:col>14</xdr:col>
      <xdr:colOff>0</xdr:colOff>
      <xdr:row>50</xdr:row>
      <xdr:rowOff>102870</xdr:rowOff>
    </xdr:to>
    <xdr:cxnSp macro="">
      <xdr:nvCxnSpPr>
        <xdr:cNvPr id="141" name="直線矢印コネクタ 140">
          <a:extLst>
            <a:ext uri="{FF2B5EF4-FFF2-40B4-BE49-F238E27FC236}">
              <a16:creationId xmlns:a16="http://schemas.microsoft.com/office/drawing/2014/main" id="{42C1A9C0-D27A-47A5-946A-88157C19619C}"/>
            </a:ext>
          </a:extLst>
        </xdr:cNvPr>
        <xdr:cNvCxnSpPr>
          <a:stCxn id="108" idx="3"/>
          <a:endCxn id="109" idx="1"/>
        </xdr:cNvCxnSpPr>
      </xdr:nvCxnSpPr>
      <xdr:spPr>
        <a:xfrm>
          <a:off x="7696200" y="5360670"/>
          <a:ext cx="102108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320040</xdr:colOff>
      <xdr:row>53</xdr:row>
      <xdr:rowOff>102870</xdr:rowOff>
    </xdr:from>
    <xdr:to>
      <xdr:col>14</xdr:col>
      <xdr:colOff>0</xdr:colOff>
      <xdr:row>54</xdr:row>
      <xdr:rowOff>102870</xdr:rowOff>
    </xdr:to>
    <xdr:cxnSp macro="">
      <xdr:nvCxnSpPr>
        <xdr:cNvPr id="144" name="直線矢印コネクタ 143">
          <a:extLst>
            <a:ext uri="{FF2B5EF4-FFF2-40B4-BE49-F238E27FC236}">
              <a16:creationId xmlns:a16="http://schemas.microsoft.com/office/drawing/2014/main" id="{41045A40-376F-4291-873C-7FA04EF47B2A}"/>
            </a:ext>
          </a:extLst>
        </xdr:cNvPr>
        <xdr:cNvCxnSpPr>
          <a:stCxn id="112" idx="3"/>
          <a:endCxn id="114" idx="1"/>
        </xdr:cNvCxnSpPr>
      </xdr:nvCxnSpPr>
      <xdr:spPr>
        <a:xfrm>
          <a:off x="7696200" y="6046470"/>
          <a:ext cx="1021080" cy="2286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320040</xdr:colOff>
      <xdr:row>53</xdr:row>
      <xdr:rowOff>102870</xdr:rowOff>
    </xdr:from>
    <xdr:to>
      <xdr:col>14</xdr:col>
      <xdr:colOff>0</xdr:colOff>
      <xdr:row>53</xdr:row>
      <xdr:rowOff>102870</xdr:rowOff>
    </xdr:to>
    <xdr:cxnSp macro="">
      <xdr:nvCxnSpPr>
        <xdr:cNvPr id="147" name="直線矢印コネクタ 146">
          <a:extLst>
            <a:ext uri="{FF2B5EF4-FFF2-40B4-BE49-F238E27FC236}">
              <a16:creationId xmlns:a16="http://schemas.microsoft.com/office/drawing/2014/main" id="{638CFB0C-7820-561F-5745-7AF1B6E4B4DD}"/>
            </a:ext>
          </a:extLst>
        </xdr:cNvPr>
        <xdr:cNvCxnSpPr>
          <a:stCxn id="112" idx="3"/>
          <a:endCxn id="113" idx="1"/>
        </xdr:cNvCxnSpPr>
      </xdr:nvCxnSpPr>
      <xdr:spPr>
        <a:xfrm>
          <a:off x="7696200" y="6046470"/>
          <a:ext cx="102108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320040</xdr:colOff>
      <xdr:row>56</xdr:row>
      <xdr:rowOff>102870</xdr:rowOff>
    </xdr:from>
    <xdr:to>
      <xdr:col>14</xdr:col>
      <xdr:colOff>0</xdr:colOff>
      <xdr:row>56</xdr:row>
      <xdr:rowOff>102870</xdr:rowOff>
    </xdr:to>
    <xdr:cxnSp macro="">
      <xdr:nvCxnSpPr>
        <xdr:cNvPr id="150" name="直線矢印コネクタ 149">
          <a:extLst>
            <a:ext uri="{FF2B5EF4-FFF2-40B4-BE49-F238E27FC236}">
              <a16:creationId xmlns:a16="http://schemas.microsoft.com/office/drawing/2014/main" id="{DAC72C5D-6540-4473-AA2D-32C627D949A1}"/>
            </a:ext>
          </a:extLst>
        </xdr:cNvPr>
        <xdr:cNvCxnSpPr>
          <a:stCxn id="117" idx="3"/>
          <a:endCxn id="118" idx="1"/>
        </xdr:cNvCxnSpPr>
      </xdr:nvCxnSpPr>
      <xdr:spPr>
        <a:xfrm>
          <a:off x="7696200" y="6732270"/>
          <a:ext cx="102108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320040</xdr:colOff>
      <xdr:row>59</xdr:row>
      <xdr:rowOff>102870</xdr:rowOff>
    </xdr:from>
    <xdr:to>
      <xdr:col>14</xdr:col>
      <xdr:colOff>0</xdr:colOff>
      <xdr:row>59</xdr:row>
      <xdr:rowOff>102870</xdr:rowOff>
    </xdr:to>
    <xdr:cxnSp macro="">
      <xdr:nvCxnSpPr>
        <xdr:cNvPr id="153" name="直線矢印コネクタ 152">
          <a:extLst>
            <a:ext uri="{FF2B5EF4-FFF2-40B4-BE49-F238E27FC236}">
              <a16:creationId xmlns:a16="http://schemas.microsoft.com/office/drawing/2014/main" id="{8CFA0231-38F3-4192-9F76-70708A33ADCE}"/>
            </a:ext>
          </a:extLst>
        </xdr:cNvPr>
        <xdr:cNvCxnSpPr>
          <a:stCxn id="122" idx="3"/>
          <a:endCxn id="125" idx="1"/>
        </xdr:cNvCxnSpPr>
      </xdr:nvCxnSpPr>
      <xdr:spPr>
        <a:xfrm>
          <a:off x="7696200" y="7418070"/>
          <a:ext cx="102108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320040</xdr:colOff>
      <xdr:row>56</xdr:row>
      <xdr:rowOff>102870</xdr:rowOff>
    </xdr:from>
    <xdr:to>
      <xdr:col>14</xdr:col>
      <xdr:colOff>0</xdr:colOff>
      <xdr:row>57</xdr:row>
      <xdr:rowOff>102870</xdr:rowOff>
    </xdr:to>
    <xdr:cxnSp macro="">
      <xdr:nvCxnSpPr>
        <xdr:cNvPr id="156" name="直線矢印コネクタ 155">
          <a:extLst>
            <a:ext uri="{FF2B5EF4-FFF2-40B4-BE49-F238E27FC236}">
              <a16:creationId xmlns:a16="http://schemas.microsoft.com/office/drawing/2014/main" id="{14392F93-1020-DF53-ACCF-B06EE7477D97}"/>
            </a:ext>
          </a:extLst>
        </xdr:cNvPr>
        <xdr:cNvCxnSpPr>
          <a:stCxn id="117" idx="3"/>
          <a:endCxn id="119" idx="1"/>
        </xdr:cNvCxnSpPr>
      </xdr:nvCxnSpPr>
      <xdr:spPr>
        <a:xfrm>
          <a:off x="7696200" y="6732270"/>
          <a:ext cx="1021080" cy="2286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320040</xdr:colOff>
      <xdr:row>59</xdr:row>
      <xdr:rowOff>102870</xdr:rowOff>
    </xdr:from>
    <xdr:to>
      <xdr:col>14</xdr:col>
      <xdr:colOff>0</xdr:colOff>
      <xdr:row>60</xdr:row>
      <xdr:rowOff>102870</xdr:rowOff>
    </xdr:to>
    <xdr:cxnSp macro="">
      <xdr:nvCxnSpPr>
        <xdr:cNvPr id="159" name="直線矢印コネクタ 158">
          <a:extLst>
            <a:ext uri="{FF2B5EF4-FFF2-40B4-BE49-F238E27FC236}">
              <a16:creationId xmlns:a16="http://schemas.microsoft.com/office/drawing/2014/main" id="{216A84AD-B3F4-C3DF-B26E-4D81EE094552}"/>
            </a:ext>
          </a:extLst>
        </xdr:cNvPr>
        <xdr:cNvCxnSpPr>
          <a:stCxn id="122" idx="3"/>
          <a:endCxn id="126" idx="1"/>
        </xdr:cNvCxnSpPr>
      </xdr:nvCxnSpPr>
      <xdr:spPr>
        <a:xfrm>
          <a:off x="7696200" y="7418070"/>
          <a:ext cx="1021080" cy="2286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320040</xdr:colOff>
      <xdr:row>62</xdr:row>
      <xdr:rowOff>102870</xdr:rowOff>
    </xdr:from>
    <xdr:to>
      <xdr:col>14</xdr:col>
      <xdr:colOff>0</xdr:colOff>
      <xdr:row>63</xdr:row>
      <xdr:rowOff>102870</xdr:rowOff>
    </xdr:to>
    <xdr:cxnSp macro="">
      <xdr:nvCxnSpPr>
        <xdr:cNvPr id="162" name="直線矢印コネクタ 161">
          <a:extLst>
            <a:ext uri="{FF2B5EF4-FFF2-40B4-BE49-F238E27FC236}">
              <a16:creationId xmlns:a16="http://schemas.microsoft.com/office/drawing/2014/main" id="{3E5B3F84-40EA-5D18-3B74-E3204B08DB86}"/>
            </a:ext>
          </a:extLst>
        </xdr:cNvPr>
        <xdr:cNvCxnSpPr>
          <a:stCxn id="123" idx="3"/>
          <a:endCxn id="128" idx="1"/>
        </xdr:cNvCxnSpPr>
      </xdr:nvCxnSpPr>
      <xdr:spPr>
        <a:xfrm>
          <a:off x="7696200" y="8103870"/>
          <a:ext cx="1021080" cy="2286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320040</xdr:colOff>
      <xdr:row>62</xdr:row>
      <xdr:rowOff>102870</xdr:rowOff>
    </xdr:from>
    <xdr:to>
      <xdr:col>14</xdr:col>
      <xdr:colOff>0</xdr:colOff>
      <xdr:row>62</xdr:row>
      <xdr:rowOff>102870</xdr:rowOff>
    </xdr:to>
    <xdr:cxnSp macro="">
      <xdr:nvCxnSpPr>
        <xdr:cNvPr id="165" name="直線矢印コネクタ 164">
          <a:extLst>
            <a:ext uri="{FF2B5EF4-FFF2-40B4-BE49-F238E27FC236}">
              <a16:creationId xmlns:a16="http://schemas.microsoft.com/office/drawing/2014/main" id="{FEA100B2-C66F-76F6-7676-1743ED39CDD8}"/>
            </a:ext>
          </a:extLst>
        </xdr:cNvPr>
        <xdr:cNvCxnSpPr>
          <a:stCxn id="123" idx="3"/>
          <a:endCxn id="127" idx="1"/>
        </xdr:cNvCxnSpPr>
      </xdr:nvCxnSpPr>
      <xdr:spPr>
        <a:xfrm>
          <a:off x="7696200" y="8103870"/>
          <a:ext cx="102108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320040</xdr:colOff>
      <xdr:row>65</xdr:row>
      <xdr:rowOff>102870</xdr:rowOff>
    </xdr:from>
    <xdr:to>
      <xdr:col>14</xdr:col>
      <xdr:colOff>0</xdr:colOff>
      <xdr:row>65</xdr:row>
      <xdr:rowOff>102870</xdr:rowOff>
    </xdr:to>
    <xdr:cxnSp macro="">
      <xdr:nvCxnSpPr>
        <xdr:cNvPr id="168" name="直線矢印コネクタ 167">
          <a:extLst>
            <a:ext uri="{FF2B5EF4-FFF2-40B4-BE49-F238E27FC236}">
              <a16:creationId xmlns:a16="http://schemas.microsoft.com/office/drawing/2014/main" id="{CEA626FF-C6C9-6790-3689-BBFE7E11E445}"/>
            </a:ext>
          </a:extLst>
        </xdr:cNvPr>
        <xdr:cNvCxnSpPr>
          <a:stCxn id="124" idx="3"/>
          <a:endCxn id="129" idx="1"/>
        </xdr:cNvCxnSpPr>
      </xdr:nvCxnSpPr>
      <xdr:spPr>
        <a:xfrm>
          <a:off x="7696200" y="8789670"/>
          <a:ext cx="102108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320040</xdr:colOff>
      <xdr:row>65</xdr:row>
      <xdr:rowOff>102870</xdr:rowOff>
    </xdr:from>
    <xdr:to>
      <xdr:col>14</xdr:col>
      <xdr:colOff>0</xdr:colOff>
      <xdr:row>66</xdr:row>
      <xdr:rowOff>102870</xdr:rowOff>
    </xdr:to>
    <xdr:cxnSp macro="">
      <xdr:nvCxnSpPr>
        <xdr:cNvPr id="171" name="直線矢印コネクタ 170">
          <a:extLst>
            <a:ext uri="{FF2B5EF4-FFF2-40B4-BE49-F238E27FC236}">
              <a16:creationId xmlns:a16="http://schemas.microsoft.com/office/drawing/2014/main" id="{F69042B7-6149-4FA1-8BDA-72D513653024}"/>
            </a:ext>
          </a:extLst>
        </xdr:cNvPr>
        <xdr:cNvCxnSpPr>
          <a:stCxn id="124" idx="3"/>
          <a:endCxn id="130" idx="1"/>
        </xdr:cNvCxnSpPr>
      </xdr:nvCxnSpPr>
      <xdr:spPr>
        <a:xfrm>
          <a:off x="7696200" y="8789670"/>
          <a:ext cx="1021080" cy="2286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320040</xdr:colOff>
      <xdr:row>50</xdr:row>
      <xdr:rowOff>102870</xdr:rowOff>
    </xdr:from>
    <xdr:to>
      <xdr:col>18</xdr:col>
      <xdr:colOff>0</xdr:colOff>
      <xdr:row>50</xdr:row>
      <xdr:rowOff>102870</xdr:rowOff>
    </xdr:to>
    <xdr:cxnSp macro="">
      <xdr:nvCxnSpPr>
        <xdr:cNvPr id="174" name="直線矢印コネクタ 173">
          <a:extLst>
            <a:ext uri="{FF2B5EF4-FFF2-40B4-BE49-F238E27FC236}">
              <a16:creationId xmlns:a16="http://schemas.microsoft.com/office/drawing/2014/main" id="{EFD42CE8-0CDD-4F8A-B605-080E5A7C620A}"/>
            </a:ext>
          </a:extLst>
        </xdr:cNvPr>
        <xdr:cNvCxnSpPr>
          <a:stCxn id="109" idx="3"/>
          <a:endCxn id="111" idx="1"/>
        </xdr:cNvCxnSpPr>
      </xdr:nvCxnSpPr>
      <xdr:spPr>
        <a:xfrm>
          <a:off x="10378440" y="5360670"/>
          <a:ext cx="102108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320040</xdr:colOff>
      <xdr:row>53</xdr:row>
      <xdr:rowOff>102870</xdr:rowOff>
    </xdr:from>
    <xdr:to>
      <xdr:col>18</xdr:col>
      <xdr:colOff>0</xdr:colOff>
      <xdr:row>53</xdr:row>
      <xdr:rowOff>102870</xdr:rowOff>
    </xdr:to>
    <xdr:cxnSp macro="">
      <xdr:nvCxnSpPr>
        <xdr:cNvPr id="177" name="直線矢印コネクタ 176">
          <a:extLst>
            <a:ext uri="{FF2B5EF4-FFF2-40B4-BE49-F238E27FC236}">
              <a16:creationId xmlns:a16="http://schemas.microsoft.com/office/drawing/2014/main" id="{C4F0C0FD-E599-4A16-AC9F-7CAF4E1DC890}"/>
            </a:ext>
          </a:extLst>
        </xdr:cNvPr>
        <xdr:cNvCxnSpPr>
          <a:stCxn id="113" idx="3"/>
          <a:endCxn id="120" idx="1"/>
        </xdr:cNvCxnSpPr>
      </xdr:nvCxnSpPr>
      <xdr:spPr>
        <a:xfrm>
          <a:off x="10378440" y="6046470"/>
          <a:ext cx="102108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320040</xdr:colOff>
      <xdr:row>56</xdr:row>
      <xdr:rowOff>102870</xdr:rowOff>
    </xdr:from>
    <xdr:to>
      <xdr:col>18</xdr:col>
      <xdr:colOff>0</xdr:colOff>
      <xdr:row>56</xdr:row>
      <xdr:rowOff>102870</xdr:rowOff>
    </xdr:to>
    <xdr:cxnSp macro="">
      <xdr:nvCxnSpPr>
        <xdr:cNvPr id="180" name="直線矢印コネクタ 179">
          <a:extLst>
            <a:ext uri="{FF2B5EF4-FFF2-40B4-BE49-F238E27FC236}">
              <a16:creationId xmlns:a16="http://schemas.microsoft.com/office/drawing/2014/main" id="{91F7CAF2-D96A-4A92-9AC8-E79ECB88DA9E}"/>
            </a:ext>
          </a:extLst>
        </xdr:cNvPr>
        <xdr:cNvCxnSpPr>
          <a:stCxn id="118" idx="3"/>
          <a:endCxn id="121" idx="1"/>
        </xdr:cNvCxnSpPr>
      </xdr:nvCxnSpPr>
      <xdr:spPr>
        <a:xfrm>
          <a:off x="10378440" y="6732270"/>
          <a:ext cx="102108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320040</xdr:colOff>
      <xdr:row>59</xdr:row>
      <xdr:rowOff>102870</xdr:rowOff>
    </xdr:from>
    <xdr:to>
      <xdr:col>18</xdr:col>
      <xdr:colOff>0</xdr:colOff>
      <xdr:row>59</xdr:row>
      <xdr:rowOff>102870</xdr:rowOff>
    </xdr:to>
    <xdr:cxnSp macro="">
      <xdr:nvCxnSpPr>
        <xdr:cNvPr id="183" name="直線矢印コネクタ 182">
          <a:extLst>
            <a:ext uri="{FF2B5EF4-FFF2-40B4-BE49-F238E27FC236}">
              <a16:creationId xmlns:a16="http://schemas.microsoft.com/office/drawing/2014/main" id="{A8D07D65-D4F6-421A-8059-2F4EE47475E1}"/>
            </a:ext>
          </a:extLst>
        </xdr:cNvPr>
        <xdr:cNvCxnSpPr>
          <a:stCxn id="125" idx="3"/>
          <a:endCxn id="131" idx="1"/>
        </xdr:cNvCxnSpPr>
      </xdr:nvCxnSpPr>
      <xdr:spPr>
        <a:xfrm>
          <a:off x="10378440" y="7418070"/>
          <a:ext cx="102108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320040</xdr:colOff>
      <xdr:row>62</xdr:row>
      <xdr:rowOff>102870</xdr:rowOff>
    </xdr:from>
    <xdr:to>
      <xdr:col>18</xdr:col>
      <xdr:colOff>0</xdr:colOff>
      <xdr:row>62</xdr:row>
      <xdr:rowOff>102870</xdr:rowOff>
    </xdr:to>
    <xdr:cxnSp macro="">
      <xdr:nvCxnSpPr>
        <xdr:cNvPr id="186" name="直線矢印コネクタ 185">
          <a:extLst>
            <a:ext uri="{FF2B5EF4-FFF2-40B4-BE49-F238E27FC236}">
              <a16:creationId xmlns:a16="http://schemas.microsoft.com/office/drawing/2014/main" id="{626BAD96-A23C-4E30-B84D-F6974ED1DDE1}"/>
            </a:ext>
          </a:extLst>
        </xdr:cNvPr>
        <xdr:cNvCxnSpPr>
          <a:stCxn id="127" idx="3"/>
          <a:endCxn id="132" idx="1"/>
        </xdr:cNvCxnSpPr>
      </xdr:nvCxnSpPr>
      <xdr:spPr>
        <a:xfrm>
          <a:off x="10378440" y="8103870"/>
          <a:ext cx="102108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320040</xdr:colOff>
      <xdr:row>65</xdr:row>
      <xdr:rowOff>102870</xdr:rowOff>
    </xdr:from>
    <xdr:to>
      <xdr:col>18</xdr:col>
      <xdr:colOff>0</xdr:colOff>
      <xdr:row>65</xdr:row>
      <xdr:rowOff>102870</xdr:rowOff>
    </xdr:to>
    <xdr:cxnSp macro="">
      <xdr:nvCxnSpPr>
        <xdr:cNvPr id="189" name="直線矢印コネクタ 188">
          <a:extLst>
            <a:ext uri="{FF2B5EF4-FFF2-40B4-BE49-F238E27FC236}">
              <a16:creationId xmlns:a16="http://schemas.microsoft.com/office/drawing/2014/main" id="{C993FB68-325B-4F40-9FCC-D2969823EBAE}"/>
            </a:ext>
          </a:extLst>
        </xdr:cNvPr>
        <xdr:cNvCxnSpPr>
          <a:stCxn id="129" idx="3"/>
          <a:endCxn id="133" idx="1"/>
        </xdr:cNvCxnSpPr>
      </xdr:nvCxnSpPr>
      <xdr:spPr>
        <a:xfrm>
          <a:off x="10378440" y="8789670"/>
          <a:ext cx="102108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320040</xdr:colOff>
      <xdr:row>50</xdr:row>
      <xdr:rowOff>102870</xdr:rowOff>
    </xdr:from>
    <xdr:to>
      <xdr:col>10</xdr:col>
      <xdr:colOff>0</xdr:colOff>
      <xdr:row>56</xdr:row>
      <xdr:rowOff>106680</xdr:rowOff>
    </xdr:to>
    <xdr:cxnSp macro="">
      <xdr:nvCxnSpPr>
        <xdr:cNvPr id="192" name="直線矢印コネクタ 191">
          <a:extLst>
            <a:ext uri="{FF2B5EF4-FFF2-40B4-BE49-F238E27FC236}">
              <a16:creationId xmlns:a16="http://schemas.microsoft.com/office/drawing/2014/main" id="{AC142089-43F5-4954-861A-ECC07BF83DAE}"/>
            </a:ext>
          </a:extLst>
        </xdr:cNvPr>
        <xdr:cNvCxnSpPr>
          <a:stCxn id="22" idx="3"/>
          <a:endCxn id="108" idx="1"/>
        </xdr:cNvCxnSpPr>
      </xdr:nvCxnSpPr>
      <xdr:spPr>
        <a:xfrm flipV="1">
          <a:off x="5013960" y="5360670"/>
          <a:ext cx="1021080" cy="13754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320040</xdr:colOff>
      <xdr:row>53</xdr:row>
      <xdr:rowOff>102870</xdr:rowOff>
    </xdr:from>
    <xdr:to>
      <xdr:col>10</xdr:col>
      <xdr:colOff>0</xdr:colOff>
      <xdr:row>56</xdr:row>
      <xdr:rowOff>106680</xdr:rowOff>
    </xdr:to>
    <xdr:cxnSp macro="">
      <xdr:nvCxnSpPr>
        <xdr:cNvPr id="195" name="直線矢印コネクタ 194">
          <a:extLst>
            <a:ext uri="{FF2B5EF4-FFF2-40B4-BE49-F238E27FC236}">
              <a16:creationId xmlns:a16="http://schemas.microsoft.com/office/drawing/2014/main" id="{4ED7192A-9751-4B31-8B44-8D3DA9893944}"/>
            </a:ext>
          </a:extLst>
        </xdr:cNvPr>
        <xdr:cNvCxnSpPr>
          <a:stCxn id="22" idx="3"/>
          <a:endCxn id="112" idx="1"/>
        </xdr:cNvCxnSpPr>
      </xdr:nvCxnSpPr>
      <xdr:spPr>
        <a:xfrm flipV="1">
          <a:off x="5013960" y="6046470"/>
          <a:ext cx="1021080" cy="6896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320040</xdr:colOff>
      <xdr:row>56</xdr:row>
      <xdr:rowOff>102870</xdr:rowOff>
    </xdr:from>
    <xdr:to>
      <xdr:col>10</xdr:col>
      <xdr:colOff>0</xdr:colOff>
      <xdr:row>56</xdr:row>
      <xdr:rowOff>106680</xdr:rowOff>
    </xdr:to>
    <xdr:cxnSp macro="">
      <xdr:nvCxnSpPr>
        <xdr:cNvPr id="198" name="直線矢印コネクタ 197">
          <a:extLst>
            <a:ext uri="{FF2B5EF4-FFF2-40B4-BE49-F238E27FC236}">
              <a16:creationId xmlns:a16="http://schemas.microsoft.com/office/drawing/2014/main" id="{6C1870AD-74F2-4103-9374-486C2179FF4A}"/>
            </a:ext>
          </a:extLst>
        </xdr:cNvPr>
        <xdr:cNvCxnSpPr>
          <a:stCxn id="22" idx="3"/>
          <a:endCxn id="117" idx="1"/>
        </xdr:cNvCxnSpPr>
      </xdr:nvCxnSpPr>
      <xdr:spPr>
        <a:xfrm flipV="1">
          <a:off x="5013960" y="6732270"/>
          <a:ext cx="1021080" cy="38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320040</xdr:colOff>
      <xdr:row>56</xdr:row>
      <xdr:rowOff>106680</xdr:rowOff>
    </xdr:from>
    <xdr:to>
      <xdr:col>10</xdr:col>
      <xdr:colOff>0</xdr:colOff>
      <xdr:row>59</xdr:row>
      <xdr:rowOff>102870</xdr:rowOff>
    </xdr:to>
    <xdr:cxnSp macro="">
      <xdr:nvCxnSpPr>
        <xdr:cNvPr id="201" name="直線矢印コネクタ 200">
          <a:extLst>
            <a:ext uri="{FF2B5EF4-FFF2-40B4-BE49-F238E27FC236}">
              <a16:creationId xmlns:a16="http://schemas.microsoft.com/office/drawing/2014/main" id="{7FE52F8E-502A-44B5-AFBC-012CB5D928E9}"/>
            </a:ext>
          </a:extLst>
        </xdr:cNvPr>
        <xdr:cNvCxnSpPr>
          <a:stCxn id="22" idx="3"/>
          <a:endCxn id="122" idx="1"/>
        </xdr:cNvCxnSpPr>
      </xdr:nvCxnSpPr>
      <xdr:spPr>
        <a:xfrm>
          <a:off x="5013960" y="6736080"/>
          <a:ext cx="1021080" cy="68199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320040</xdr:colOff>
      <xdr:row>56</xdr:row>
      <xdr:rowOff>106680</xdr:rowOff>
    </xdr:from>
    <xdr:to>
      <xdr:col>10</xdr:col>
      <xdr:colOff>0</xdr:colOff>
      <xdr:row>62</xdr:row>
      <xdr:rowOff>102870</xdr:rowOff>
    </xdr:to>
    <xdr:cxnSp macro="">
      <xdr:nvCxnSpPr>
        <xdr:cNvPr id="204" name="直線矢印コネクタ 203">
          <a:extLst>
            <a:ext uri="{FF2B5EF4-FFF2-40B4-BE49-F238E27FC236}">
              <a16:creationId xmlns:a16="http://schemas.microsoft.com/office/drawing/2014/main" id="{4DDABC22-0A6A-4C5F-A1C8-D615B7B292A5}"/>
            </a:ext>
          </a:extLst>
        </xdr:cNvPr>
        <xdr:cNvCxnSpPr>
          <a:stCxn id="22" idx="3"/>
          <a:endCxn id="123" idx="1"/>
        </xdr:cNvCxnSpPr>
      </xdr:nvCxnSpPr>
      <xdr:spPr>
        <a:xfrm>
          <a:off x="5013960" y="6736080"/>
          <a:ext cx="1021080" cy="136779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320040</xdr:colOff>
      <xdr:row>56</xdr:row>
      <xdr:rowOff>106680</xdr:rowOff>
    </xdr:from>
    <xdr:to>
      <xdr:col>10</xdr:col>
      <xdr:colOff>0</xdr:colOff>
      <xdr:row>65</xdr:row>
      <xdr:rowOff>102870</xdr:rowOff>
    </xdr:to>
    <xdr:cxnSp macro="">
      <xdr:nvCxnSpPr>
        <xdr:cNvPr id="207" name="直線矢印コネクタ 206">
          <a:extLst>
            <a:ext uri="{FF2B5EF4-FFF2-40B4-BE49-F238E27FC236}">
              <a16:creationId xmlns:a16="http://schemas.microsoft.com/office/drawing/2014/main" id="{D15560CC-C429-4B1F-A035-44194F9D9E45}"/>
            </a:ext>
          </a:extLst>
        </xdr:cNvPr>
        <xdr:cNvCxnSpPr>
          <a:stCxn id="22" idx="3"/>
          <a:endCxn id="124" idx="1"/>
        </xdr:cNvCxnSpPr>
      </xdr:nvCxnSpPr>
      <xdr:spPr>
        <a:xfrm>
          <a:off x="5013960" y="6736080"/>
          <a:ext cx="1021080" cy="205359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0</xdr:colOff>
      <xdr:row>50</xdr:row>
      <xdr:rowOff>102870</xdr:rowOff>
    </xdr:from>
    <xdr:to>
      <xdr:col>6</xdr:col>
      <xdr:colOff>0</xdr:colOff>
      <xdr:row>56</xdr:row>
      <xdr:rowOff>106680</xdr:rowOff>
    </xdr:to>
    <xdr:cxnSp macro="">
      <xdr:nvCxnSpPr>
        <xdr:cNvPr id="210" name="直線矢印コネクタ 209">
          <a:extLst>
            <a:ext uri="{FF2B5EF4-FFF2-40B4-BE49-F238E27FC236}">
              <a16:creationId xmlns:a16="http://schemas.microsoft.com/office/drawing/2014/main" id="{A62B9476-16C1-4725-BB25-9F7E501574BF}"/>
            </a:ext>
          </a:extLst>
        </xdr:cNvPr>
        <xdr:cNvCxnSpPr>
          <a:cxnSpLocks/>
          <a:stCxn id="336" idx="3"/>
          <a:endCxn id="22" idx="1"/>
        </xdr:cNvCxnSpPr>
      </xdr:nvCxnSpPr>
      <xdr:spPr>
        <a:xfrm>
          <a:off x="2011680" y="5360670"/>
          <a:ext cx="1341120" cy="13754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0</xdr:colOff>
      <xdr:row>53</xdr:row>
      <xdr:rowOff>102870</xdr:rowOff>
    </xdr:from>
    <xdr:to>
      <xdr:col>6</xdr:col>
      <xdr:colOff>0</xdr:colOff>
      <xdr:row>56</xdr:row>
      <xdr:rowOff>106680</xdr:rowOff>
    </xdr:to>
    <xdr:cxnSp macro="">
      <xdr:nvCxnSpPr>
        <xdr:cNvPr id="213" name="直線矢印コネクタ 212">
          <a:extLst>
            <a:ext uri="{FF2B5EF4-FFF2-40B4-BE49-F238E27FC236}">
              <a16:creationId xmlns:a16="http://schemas.microsoft.com/office/drawing/2014/main" id="{C7D013AB-67C5-4E82-B89B-EA55DE30AEA2}"/>
            </a:ext>
          </a:extLst>
        </xdr:cNvPr>
        <xdr:cNvCxnSpPr>
          <a:cxnSpLocks/>
          <a:stCxn id="338" idx="3"/>
          <a:endCxn id="22" idx="1"/>
        </xdr:cNvCxnSpPr>
      </xdr:nvCxnSpPr>
      <xdr:spPr>
        <a:xfrm>
          <a:off x="2011680" y="6046470"/>
          <a:ext cx="1341120" cy="6896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0</xdr:colOff>
      <xdr:row>56</xdr:row>
      <xdr:rowOff>106680</xdr:rowOff>
    </xdr:from>
    <xdr:to>
      <xdr:col>6</xdr:col>
      <xdr:colOff>0</xdr:colOff>
      <xdr:row>57</xdr:row>
      <xdr:rowOff>102870</xdr:rowOff>
    </xdr:to>
    <xdr:cxnSp macro="">
      <xdr:nvCxnSpPr>
        <xdr:cNvPr id="216" name="直線矢印コネクタ 215">
          <a:extLst>
            <a:ext uri="{FF2B5EF4-FFF2-40B4-BE49-F238E27FC236}">
              <a16:creationId xmlns:a16="http://schemas.microsoft.com/office/drawing/2014/main" id="{582C7D9E-0AA5-4FC1-A0D1-083BC0F36B2B}"/>
            </a:ext>
          </a:extLst>
        </xdr:cNvPr>
        <xdr:cNvCxnSpPr>
          <a:cxnSpLocks/>
          <a:stCxn id="337" idx="3"/>
          <a:endCxn id="22" idx="1"/>
        </xdr:cNvCxnSpPr>
      </xdr:nvCxnSpPr>
      <xdr:spPr>
        <a:xfrm flipV="1">
          <a:off x="2011680" y="6736080"/>
          <a:ext cx="1341120" cy="22479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464820</xdr:colOff>
      <xdr:row>26</xdr:row>
      <xdr:rowOff>68580</xdr:rowOff>
    </xdr:from>
    <xdr:to>
      <xdr:col>5</xdr:col>
      <xdr:colOff>243840</xdr:colOff>
      <xdr:row>27</xdr:row>
      <xdr:rowOff>175260</xdr:rowOff>
    </xdr:to>
    <xdr:sp macro="" textlink="">
      <xdr:nvSpPr>
        <xdr:cNvPr id="219" name="正方形/長方形 218">
          <a:extLst>
            <a:ext uri="{FF2B5EF4-FFF2-40B4-BE49-F238E27FC236}">
              <a16:creationId xmlns:a16="http://schemas.microsoft.com/office/drawing/2014/main" id="{D423375F-3889-EECF-BB25-01655D825222}"/>
            </a:ext>
          </a:extLst>
        </xdr:cNvPr>
        <xdr:cNvSpPr/>
      </xdr:nvSpPr>
      <xdr:spPr>
        <a:xfrm>
          <a:off x="2476500" y="166878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①</a:t>
          </a:r>
        </a:p>
      </xdr:txBody>
    </xdr:sp>
    <xdr:clientData/>
  </xdr:twoCellAnchor>
  <xdr:twoCellAnchor>
    <xdr:from>
      <xdr:col>4</xdr:col>
      <xdr:colOff>464820</xdr:colOff>
      <xdr:row>35</xdr:row>
      <xdr:rowOff>53340</xdr:rowOff>
    </xdr:from>
    <xdr:to>
      <xdr:col>5</xdr:col>
      <xdr:colOff>243840</xdr:colOff>
      <xdr:row>36</xdr:row>
      <xdr:rowOff>160020</xdr:rowOff>
    </xdr:to>
    <xdr:sp macro="" textlink="">
      <xdr:nvSpPr>
        <xdr:cNvPr id="220" name="正方形/長方形 219">
          <a:extLst>
            <a:ext uri="{FF2B5EF4-FFF2-40B4-BE49-F238E27FC236}">
              <a16:creationId xmlns:a16="http://schemas.microsoft.com/office/drawing/2014/main" id="{0E994912-91F9-D7C5-FCFE-3B483E016DD3}"/>
            </a:ext>
          </a:extLst>
        </xdr:cNvPr>
        <xdr:cNvSpPr/>
      </xdr:nvSpPr>
      <xdr:spPr>
        <a:xfrm>
          <a:off x="2476500" y="256794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⑤</a:t>
          </a:r>
        </a:p>
      </xdr:txBody>
    </xdr:sp>
    <xdr:clientData/>
  </xdr:twoCellAnchor>
  <xdr:twoCellAnchor>
    <xdr:from>
      <xdr:col>4</xdr:col>
      <xdr:colOff>464820</xdr:colOff>
      <xdr:row>49</xdr:row>
      <xdr:rowOff>190500</xdr:rowOff>
    </xdr:from>
    <xdr:to>
      <xdr:col>5</xdr:col>
      <xdr:colOff>243840</xdr:colOff>
      <xdr:row>51</xdr:row>
      <xdr:rowOff>68580</xdr:rowOff>
    </xdr:to>
    <xdr:sp macro="" textlink="">
      <xdr:nvSpPr>
        <xdr:cNvPr id="221" name="正方形/長方形 220">
          <a:extLst>
            <a:ext uri="{FF2B5EF4-FFF2-40B4-BE49-F238E27FC236}">
              <a16:creationId xmlns:a16="http://schemas.microsoft.com/office/drawing/2014/main" id="{E43DA5E6-B92F-3F07-AB2D-5094E5CC6BBF}"/>
            </a:ext>
          </a:extLst>
        </xdr:cNvPr>
        <xdr:cNvSpPr/>
      </xdr:nvSpPr>
      <xdr:spPr>
        <a:xfrm>
          <a:off x="2476500" y="521970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⑬</a:t>
          </a:r>
        </a:p>
      </xdr:txBody>
    </xdr:sp>
    <xdr:clientData/>
  </xdr:twoCellAnchor>
  <xdr:twoCellAnchor>
    <xdr:from>
      <xdr:col>4</xdr:col>
      <xdr:colOff>464820</xdr:colOff>
      <xdr:row>52</xdr:row>
      <xdr:rowOff>0</xdr:rowOff>
    </xdr:from>
    <xdr:to>
      <xdr:col>5</xdr:col>
      <xdr:colOff>243840</xdr:colOff>
      <xdr:row>53</xdr:row>
      <xdr:rowOff>106680</xdr:rowOff>
    </xdr:to>
    <xdr:sp macro="" textlink="">
      <xdr:nvSpPr>
        <xdr:cNvPr id="230" name="正方形/長方形 229">
          <a:extLst>
            <a:ext uri="{FF2B5EF4-FFF2-40B4-BE49-F238E27FC236}">
              <a16:creationId xmlns:a16="http://schemas.microsoft.com/office/drawing/2014/main" id="{0D31D051-A721-2004-C36E-9A6E49DA7470}"/>
            </a:ext>
          </a:extLst>
        </xdr:cNvPr>
        <xdr:cNvSpPr/>
      </xdr:nvSpPr>
      <xdr:spPr>
        <a:xfrm>
          <a:off x="2476500" y="571500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⑭</a:t>
          </a:r>
        </a:p>
      </xdr:txBody>
    </xdr:sp>
    <xdr:clientData/>
  </xdr:twoCellAnchor>
  <xdr:twoCellAnchor>
    <xdr:from>
      <xdr:col>4</xdr:col>
      <xdr:colOff>464820</xdr:colOff>
      <xdr:row>53</xdr:row>
      <xdr:rowOff>152400</xdr:rowOff>
    </xdr:from>
    <xdr:to>
      <xdr:col>5</xdr:col>
      <xdr:colOff>243840</xdr:colOff>
      <xdr:row>55</xdr:row>
      <xdr:rowOff>30480</xdr:rowOff>
    </xdr:to>
    <xdr:sp macro="" textlink="">
      <xdr:nvSpPr>
        <xdr:cNvPr id="231" name="正方形/長方形 230">
          <a:extLst>
            <a:ext uri="{FF2B5EF4-FFF2-40B4-BE49-F238E27FC236}">
              <a16:creationId xmlns:a16="http://schemas.microsoft.com/office/drawing/2014/main" id="{CF6151DF-1AFC-3698-BCBB-AA7F14E476D3}"/>
            </a:ext>
          </a:extLst>
        </xdr:cNvPr>
        <xdr:cNvSpPr/>
      </xdr:nvSpPr>
      <xdr:spPr>
        <a:xfrm>
          <a:off x="2476500" y="609600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⑮</a:t>
          </a:r>
        </a:p>
      </xdr:txBody>
    </xdr:sp>
    <xdr:clientData/>
  </xdr:twoCellAnchor>
  <xdr:twoCellAnchor>
    <xdr:from>
      <xdr:col>4</xdr:col>
      <xdr:colOff>464820</xdr:colOff>
      <xdr:row>55</xdr:row>
      <xdr:rowOff>175260</xdr:rowOff>
    </xdr:from>
    <xdr:to>
      <xdr:col>5</xdr:col>
      <xdr:colOff>243840</xdr:colOff>
      <xdr:row>57</xdr:row>
      <xdr:rowOff>53340</xdr:rowOff>
    </xdr:to>
    <xdr:sp macro="" textlink="">
      <xdr:nvSpPr>
        <xdr:cNvPr id="232" name="正方形/長方形 231">
          <a:extLst>
            <a:ext uri="{FF2B5EF4-FFF2-40B4-BE49-F238E27FC236}">
              <a16:creationId xmlns:a16="http://schemas.microsoft.com/office/drawing/2014/main" id="{91FA40DE-7C75-C1A7-4460-10880850D6D4}"/>
            </a:ext>
          </a:extLst>
        </xdr:cNvPr>
        <xdr:cNvSpPr/>
      </xdr:nvSpPr>
      <xdr:spPr>
        <a:xfrm>
          <a:off x="2476500" y="657606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⑯</a:t>
          </a:r>
        </a:p>
      </xdr:txBody>
    </xdr:sp>
    <xdr:clientData/>
  </xdr:twoCellAnchor>
  <xdr:twoCellAnchor>
    <xdr:from>
      <xdr:col>9</xdr:col>
      <xdr:colOff>327660</xdr:colOff>
      <xdr:row>26</xdr:row>
      <xdr:rowOff>68580</xdr:rowOff>
    </xdr:from>
    <xdr:to>
      <xdr:col>10</xdr:col>
      <xdr:colOff>106680</xdr:colOff>
      <xdr:row>27</xdr:row>
      <xdr:rowOff>175260</xdr:rowOff>
    </xdr:to>
    <xdr:sp macro="" textlink="">
      <xdr:nvSpPr>
        <xdr:cNvPr id="233" name="正方形/長方形 232">
          <a:extLst>
            <a:ext uri="{FF2B5EF4-FFF2-40B4-BE49-F238E27FC236}">
              <a16:creationId xmlns:a16="http://schemas.microsoft.com/office/drawing/2014/main" id="{4DD0E0BF-1E50-7CD3-6316-99358FC7E6A3}"/>
            </a:ext>
          </a:extLst>
        </xdr:cNvPr>
        <xdr:cNvSpPr/>
      </xdr:nvSpPr>
      <xdr:spPr>
        <a:xfrm>
          <a:off x="5692140" y="166878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②</a:t>
          </a:r>
        </a:p>
      </xdr:txBody>
    </xdr:sp>
    <xdr:clientData/>
  </xdr:twoCellAnchor>
  <xdr:twoCellAnchor>
    <xdr:from>
      <xdr:col>13</xdr:col>
      <xdr:colOff>304800</xdr:colOff>
      <xdr:row>26</xdr:row>
      <xdr:rowOff>68580</xdr:rowOff>
    </xdr:from>
    <xdr:to>
      <xdr:col>14</xdr:col>
      <xdr:colOff>83820</xdr:colOff>
      <xdr:row>27</xdr:row>
      <xdr:rowOff>175260</xdr:rowOff>
    </xdr:to>
    <xdr:sp macro="" textlink="">
      <xdr:nvSpPr>
        <xdr:cNvPr id="234" name="正方形/長方形 233">
          <a:extLst>
            <a:ext uri="{FF2B5EF4-FFF2-40B4-BE49-F238E27FC236}">
              <a16:creationId xmlns:a16="http://schemas.microsoft.com/office/drawing/2014/main" id="{7F2B6845-E6F5-6474-4B56-0BC9AF9366D5}"/>
            </a:ext>
          </a:extLst>
        </xdr:cNvPr>
        <xdr:cNvSpPr/>
      </xdr:nvSpPr>
      <xdr:spPr>
        <a:xfrm>
          <a:off x="8351520" y="166878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③</a:t>
          </a:r>
        </a:p>
      </xdr:txBody>
    </xdr:sp>
    <xdr:clientData/>
  </xdr:twoCellAnchor>
  <xdr:twoCellAnchor>
    <xdr:from>
      <xdr:col>13</xdr:col>
      <xdr:colOff>304800</xdr:colOff>
      <xdr:row>28</xdr:row>
      <xdr:rowOff>15240</xdr:rowOff>
    </xdr:from>
    <xdr:to>
      <xdr:col>14</xdr:col>
      <xdr:colOff>83820</xdr:colOff>
      <xdr:row>29</xdr:row>
      <xdr:rowOff>121920</xdr:rowOff>
    </xdr:to>
    <xdr:sp macro="" textlink="">
      <xdr:nvSpPr>
        <xdr:cNvPr id="235" name="正方形/長方形 234">
          <a:extLst>
            <a:ext uri="{FF2B5EF4-FFF2-40B4-BE49-F238E27FC236}">
              <a16:creationId xmlns:a16="http://schemas.microsoft.com/office/drawing/2014/main" id="{E3E14397-DC41-E24D-D0AA-AF5F23827866}"/>
            </a:ext>
          </a:extLst>
        </xdr:cNvPr>
        <xdr:cNvSpPr/>
      </xdr:nvSpPr>
      <xdr:spPr>
        <a:xfrm>
          <a:off x="8351520" y="207264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④</a:t>
          </a:r>
        </a:p>
      </xdr:txBody>
    </xdr:sp>
    <xdr:clientData/>
  </xdr:twoCellAnchor>
  <xdr:twoCellAnchor>
    <xdr:from>
      <xdr:col>9</xdr:col>
      <xdr:colOff>342900</xdr:colOff>
      <xdr:row>35</xdr:row>
      <xdr:rowOff>53340</xdr:rowOff>
    </xdr:from>
    <xdr:to>
      <xdr:col>10</xdr:col>
      <xdr:colOff>121920</xdr:colOff>
      <xdr:row>36</xdr:row>
      <xdr:rowOff>160020</xdr:rowOff>
    </xdr:to>
    <xdr:sp macro="" textlink="">
      <xdr:nvSpPr>
        <xdr:cNvPr id="236" name="正方形/長方形 235">
          <a:extLst>
            <a:ext uri="{FF2B5EF4-FFF2-40B4-BE49-F238E27FC236}">
              <a16:creationId xmlns:a16="http://schemas.microsoft.com/office/drawing/2014/main" id="{3EC8A2AD-7714-4728-4A3F-9DB842CD6037}"/>
            </a:ext>
          </a:extLst>
        </xdr:cNvPr>
        <xdr:cNvSpPr/>
      </xdr:nvSpPr>
      <xdr:spPr>
        <a:xfrm>
          <a:off x="5707380" y="256794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⑥</a:t>
          </a:r>
        </a:p>
      </xdr:txBody>
    </xdr:sp>
    <xdr:clientData/>
  </xdr:twoCellAnchor>
  <xdr:twoCellAnchor>
    <xdr:from>
      <xdr:col>13</xdr:col>
      <xdr:colOff>342900</xdr:colOff>
      <xdr:row>35</xdr:row>
      <xdr:rowOff>68580</xdr:rowOff>
    </xdr:from>
    <xdr:to>
      <xdr:col>14</xdr:col>
      <xdr:colOff>121920</xdr:colOff>
      <xdr:row>36</xdr:row>
      <xdr:rowOff>175260</xdr:rowOff>
    </xdr:to>
    <xdr:sp macro="" textlink="">
      <xdr:nvSpPr>
        <xdr:cNvPr id="237" name="正方形/長方形 236">
          <a:extLst>
            <a:ext uri="{FF2B5EF4-FFF2-40B4-BE49-F238E27FC236}">
              <a16:creationId xmlns:a16="http://schemas.microsoft.com/office/drawing/2014/main" id="{E29BD0A9-B887-BEED-76CD-35B702B02968}"/>
            </a:ext>
          </a:extLst>
        </xdr:cNvPr>
        <xdr:cNvSpPr/>
      </xdr:nvSpPr>
      <xdr:spPr>
        <a:xfrm>
          <a:off x="8389620" y="258318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⑦</a:t>
          </a:r>
        </a:p>
      </xdr:txBody>
    </xdr:sp>
    <xdr:clientData/>
  </xdr:twoCellAnchor>
  <xdr:twoCellAnchor>
    <xdr:from>
      <xdr:col>13</xdr:col>
      <xdr:colOff>335280</xdr:colOff>
      <xdr:row>36</xdr:row>
      <xdr:rowOff>53340</xdr:rowOff>
    </xdr:from>
    <xdr:to>
      <xdr:col>14</xdr:col>
      <xdr:colOff>114300</xdr:colOff>
      <xdr:row>37</xdr:row>
      <xdr:rowOff>160020</xdr:rowOff>
    </xdr:to>
    <xdr:sp macro="" textlink="">
      <xdr:nvSpPr>
        <xdr:cNvPr id="238" name="正方形/長方形 237">
          <a:extLst>
            <a:ext uri="{FF2B5EF4-FFF2-40B4-BE49-F238E27FC236}">
              <a16:creationId xmlns:a16="http://schemas.microsoft.com/office/drawing/2014/main" id="{863B33A9-21A4-B956-BCA0-BEE21B650384}"/>
            </a:ext>
          </a:extLst>
        </xdr:cNvPr>
        <xdr:cNvSpPr/>
      </xdr:nvSpPr>
      <xdr:spPr>
        <a:xfrm>
          <a:off x="8382000" y="279654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⑧</a:t>
          </a:r>
        </a:p>
      </xdr:txBody>
    </xdr:sp>
    <xdr:clientData/>
  </xdr:twoCellAnchor>
  <xdr:twoCellAnchor>
    <xdr:from>
      <xdr:col>13</xdr:col>
      <xdr:colOff>342900</xdr:colOff>
      <xdr:row>37</xdr:row>
      <xdr:rowOff>22860</xdr:rowOff>
    </xdr:from>
    <xdr:to>
      <xdr:col>14</xdr:col>
      <xdr:colOff>121920</xdr:colOff>
      <xdr:row>38</xdr:row>
      <xdr:rowOff>129540</xdr:rowOff>
    </xdr:to>
    <xdr:sp macro="" textlink="">
      <xdr:nvSpPr>
        <xdr:cNvPr id="239" name="正方形/長方形 238">
          <a:extLst>
            <a:ext uri="{FF2B5EF4-FFF2-40B4-BE49-F238E27FC236}">
              <a16:creationId xmlns:a16="http://schemas.microsoft.com/office/drawing/2014/main" id="{9D007C54-8DB4-5D1B-28C1-1332D246AC3A}"/>
            </a:ext>
          </a:extLst>
        </xdr:cNvPr>
        <xdr:cNvSpPr/>
      </xdr:nvSpPr>
      <xdr:spPr>
        <a:xfrm>
          <a:off x="8389620" y="299466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⑨</a:t>
          </a:r>
        </a:p>
      </xdr:txBody>
    </xdr:sp>
    <xdr:clientData/>
  </xdr:twoCellAnchor>
  <xdr:twoCellAnchor>
    <xdr:from>
      <xdr:col>9</xdr:col>
      <xdr:colOff>350520</xdr:colOff>
      <xdr:row>38</xdr:row>
      <xdr:rowOff>144780</xdr:rowOff>
    </xdr:from>
    <xdr:to>
      <xdr:col>10</xdr:col>
      <xdr:colOff>129540</xdr:colOff>
      <xdr:row>42</xdr:row>
      <xdr:rowOff>22860</xdr:rowOff>
    </xdr:to>
    <xdr:sp macro="" textlink="">
      <xdr:nvSpPr>
        <xdr:cNvPr id="240" name="正方形/長方形 239">
          <a:extLst>
            <a:ext uri="{FF2B5EF4-FFF2-40B4-BE49-F238E27FC236}">
              <a16:creationId xmlns:a16="http://schemas.microsoft.com/office/drawing/2014/main" id="{1692CD3A-596B-7036-9555-119B9FBF1B2F}"/>
            </a:ext>
          </a:extLst>
        </xdr:cNvPr>
        <xdr:cNvSpPr/>
      </xdr:nvSpPr>
      <xdr:spPr>
        <a:xfrm>
          <a:off x="5715000" y="334518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⑩</a:t>
          </a:r>
        </a:p>
      </xdr:txBody>
    </xdr:sp>
    <xdr:clientData/>
  </xdr:twoCellAnchor>
  <xdr:twoCellAnchor>
    <xdr:from>
      <xdr:col>12</xdr:col>
      <xdr:colOff>632460</xdr:colOff>
      <xdr:row>41</xdr:row>
      <xdr:rowOff>83820</xdr:rowOff>
    </xdr:from>
    <xdr:to>
      <xdr:col>13</xdr:col>
      <xdr:colOff>411480</xdr:colOff>
      <xdr:row>42</xdr:row>
      <xdr:rowOff>190500</xdr:rowOff>
    </xdr:to>
    <xdr:sp macro="" textlink="">
      <xdr:nvSpPr>
        <xdr:cNvPr id="241" name="正方形/長方形 240">
          <a:extLst>
            <a:ext uri="{FF2B5EF4-FFF2-40B4-BE49-F238E27FC236}">
              <a16:creationId xmlns:a16="http://schemas.microsoft.com/office/drawing/2014/main" id="{C08DFF20-9574-9A30-A448-8EA793BEBEF4}"/>
            </a:ext>
          </a:extLst>
        </xdr:cNvPr>
        <xdr:cNvSpPr/>
      </xdr:nvSpPr>
      <xdr:spPr>
        <a:xfrm>
          <a:off x="8008620" y="351282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⑪</a:t>
          </a:r>
        </a:p>
      </xdr:txBody>
    </xdr:sp>
    <xdr:clientData/>
  </xdr:twoCellAnchor>
  <xdr:twoCellAnchor>
    <xdr:from>
      <xdr:col>12</xdr:col>
      <xdr:colOff>632460</xdr:colOff>
      <xdr:row>42</xdr:row>
      <xdr:rowOff>198120</xdr:rowOff>
    </xdr:from>
    <xdr:to>
      <xdr:col>13</xdr:col>
      <xdr:colOff>411480</xdr:colOff>
      <xdr:row>44</xdr:row>
      <xdr:rowOff>76200</xdr:rowOff>
    </xdr:to>
    <xdr:sp macro="" textlink="">
      <xdr:nvSpPr>
        <xdr:cNvPr id="242" name="正方形/長方形 241">
          <a:extLst>
            <a:ext uri="{FF2B5EF4-FFF2-40B4-BE49-F238E27FC236}">
              <a16:creationId xmlns:a16="http://schemas.microsoft.com/office/drawing/2014/main" id="{CF1DE599-9D4F-8618-712E-0A591FE38B0A}"/>
            </a:ext>
          </a:extLst>
        </xdr:cNvPr>
        <xdr:cNvSpPr/>
      </xdr:nvSpPr>
      <xdr:spPr>
        <a:xfrm>
          <a:off x="8008620" y="385572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⑫</a:t>
          </a:r>
        </a:p>
      </xdr:txBody>
    </xdr:sp>
    <xdr:clientData/>
  </xdr:twoCellAnchor>
  <xdr:twoCellAnchor>
    <xdr:from>
      <xdr:col>9</xdr:col>
      <xdr:colOff>320040</xdr:colOff>
      <xdr:row>46</xdr:row>
      <xdr:rowOff>198120</xdr:rowOff>
    </xdr:from>
    <xdr:to>
      <xdr:col>10</xdr:col>
      <xdr:colOff>99060</xdr:colOff>
      <xdr:row>48</xdr:row>
      <xdr:rowOff>76200</xdr:rowOff>
    </xdr:to>
    <xdr:sp macro="" textlink="">
      <xdr:nvSpPr>
        <xdr:cNvPr id="243" name="正方形/長方形 242">
          <a:extLst>
            <a:ext uri="{FF2B5EF4-FFF2-40B4-BE49-F238E27FC236}">
              <a16:creationId xmlns:a16="http://schemas.microsoft.com/office/drawing/2014/main" id="{413A3BBA-541B-9388-097A-CDA88ADA2F0B}"/>
            </a:ext>
          </a:extLst>
        </xdr:cNvPr>
        <xdr:cNvSpPr/>
      </xdr:nvSpPr>
      <xdr:spPr>
        <a:xfrm>
          <a:off x="5684520" y="454152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⑰</a:t>
          </a:r>
        </a:p>
      </xdr:txBody>
    </xdr:sp>
    <xdr:clientData/>
  </xdr:twoCellAnchor>
  <xdr:twoCellAnchor>
    <xdr:from>
      <xdr:col>9</xdr:col>
      <xdr:colOff>320040</xdr:colOff>
      <xdr:row>49</xdr:row>
      <xdr:rowOff>114300</xdr:rowOff>
    </xdr:from>
    <xdr:to>
      <xdr:col>10</xdr:col>
      <xdr:colOff>99060</xdr:colOff>
      <xdr:row>50</xdr:row>
      <xdr:rowOff>220980</xdr:rowOff>
    </xdr:to>
    <xdr:sp macro="" textlink="">
      <xdr:nvSpPr>
        <xdr:cNvPr id="244" name="正方形/長方形 243">
          <a:extLst>
            <a:ext uri="{FF2B5EF4-FFF2-40B4-BE49-F238E27FC236}">
              <a16:creationId xmlns:a16="http://schemas.microsoft.com/office/drawing/2014/main" id="{F26B2DCA-B3D8-B521-2E37-0659E48A2EFC}"/>
            </a:ext>
          </a:extLst>
        </xdr:cNvPr>
        <xdr:cNvSpPr/>
      </xdr:nvSpPr>
      <xdr:spPr>
        <a:xfrm>
          <a:off x="5684520" y="514350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⑳</a:t>
          </a:r>
        </a:p>
      </xdr:txBody>
    </xdr:sp>
    <xdr:clientData/>
  </xdr:twoCellAnchor>
  <xdr:twoCellAnchor>
    <xdr:from>
      <xdr:col>9</xdr:col>
      <xdr:colOff>327660</xdr:colOff>
      <xdr:row>51</xdr:row>
      <xdr:rowOff>205740</xdr:rowOff>
    </xdr:from>
    <xdr:to>
      <xdr:col>10</xdr:col>
      <xdr:colOff>106680</xdr:colOff>
      <xdr:row>53</xdr:row>
      <xdr:rowOff>83820</xdr:rowOff>
    </xdr:to>
    <xdr:sp macro="" textlink="">
      <xdr:nvSpPr>
        <xdr:cNvPr id="246" name="正方形/長方形 245">
          <a:extLst>
            <a:ext uri="{FF2B5EF4-FFF2-40B4-BE49-F238E27FC236}">
              <a16:creationId xmlns:a16="http://schemas.microsoft.com/office/drawing/2014/main" id="{4ABE5E5F-AD31-1B74-861B-52DA08774B8B}"/>
            </a:ext>
          </a:extLst>
        </xdr:cNvPr>
        <xdr:cNvSpPr/>
      </xdr:nvSpPr>
      <xdr:spPr>
        <a:xfrm>
          <a:off x="5692140" y="569214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㉓</a:t>
          </a:r>
        </a:p>
      </xdr:txBody>
    </xdr:sp>
    <xdr:clientData/>
  </xdr:twoCellAnchor>
  <xdr:twoCellAnchor>
    <xdr:from>
      <xdr:col>9</xdr:col>
      <xdr:colOff>350520</xdr:colOff>
      <xdr:row>54</xdr:row>
      <xdr:rowOff>76200</xdr:rowOff>
    </xdr:from>
    <xdr:to>
      <xdr:col>10</xdr:col>
      <xdr:colOff>129540</xdr:colOff>
      <xdr:row>55</xdr:row>
      <xdr:rowOff>182880</xdr:rowOff>
    </xdr:to>
    <xdr:sp macro="" textlink="">
      <xdr:nvSpPr>
        <xdr:cNvPr id="247" name="正方形/長方形 246">
          <a:extLst>
            <a:ext uri="{FF2B5EF4-FFF2-40B4-BE49-F238E27FC236}">
              <a16:creationId xmlns:a16="http://schemas.microsoft.com/office/drawing/2014/main" id="{B90659DB-63AC-425D-16D0-2CC20040EE09}"/>
            </a:ext>
          </a:extLst>
        </xdr:cNvPr>
        <xdr:cNvSpPr/>
      </xdr:nvSpPr>
      <xdr:spPr>
        <a:xfrm>
          <a:off x="5715000" y="624840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㉖</a:t>
          </a:r>
        </a:p>
      </xdr:txBody>
    </xdr:sp>
    <xdr:clientData/>
  </xdr:twoCellAnchor>
  <xdr:twoCellAnchor>
    <xdr:from>
      <xdr:col>9</xdr:col>
      <xdr:colOff>350520</xdr:colOff>
      <xdr:row>58</xdr:row>
      <xdr:rowOff>68580</xdr:rowOff>
    </xdr:from>
    <xdr:to>
      <xdr:col>10</xdr:col>
      <xdr:colOff>129540</xdr:colOff>
      <xdr:row>59</xdr:row>
      <xdr:rowOff>175260</xdr:rowOff>
    </xdr:to>
    <xdr:sp macro="" textlink="">
      <xdr:nvSpPr>
        <xdr:cNvPr id="248" name="正方形/長方形 247">
          <a:extLst>
            <a:ext uri="{FF2B5EF4-FFF2-40B4-BE49-F238E27FC236}">
              <a16:creationId xmlns:a16="http://schemas.microsoft.com/office/drawing/2014/main" id="{1CFEF32F-F374-28B7-D3E1-20EC9592833F}"/>
            </a:ext>
          </a:extLst>
        </xdr:cNvPr>
        <xdr:cNvSpPr/>
      </xdr:nvSpPr>
      <xdr:spPr>
        <a:xfrm>
          <a:off x="5715000" y="715518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㉙</a:t>
          </a:r>
        </a:p>
      </xdr:txBody>
    </xdr:sp>
    <xdr:clientData/>
  </xdr:twoCellAnchor>
  <xdr:twoCellAnchor>
    <xdr:from>
      <xdr:col>9</xdr:col>
      <xdr:colOff>350520</xdr:colOff>
      <xdr:row>61</xdr:row>
      <xdr:rowOff>45720</xdr:rowOff>
    </xdr:from>
    <xdr:to>
      <xdr:col>10</xdr:col>
      <xdr:colOff>129540</xdr:colOff>
      <xdr:row>62</xdr:row>
      <xdr:rowOff>152400</xdr:rowOff>
    </xdr:to>
    <xdr:sp macro="" textlink="">
      <xdr:nvSpPr>
        <xdr:cNvPr id="249" name="正方形/長方形 248">
          <a:extLst>
            <a:ext uri="{FF2B5EF4-FFF2-40B4-BE49-F238E27FC236}">
              <a16:creationId xmlns:a16="http://schemas.microsoft.com/office/drawing/2014/main" id="{1B4079B8-44E2-F463-90AB-CA938FCD9D4B}"/>
            </a:ext>
          </a:extLst>
        </xdr:cNvPr>
        <xdr:cNvSpPr/>
      </xdr:nvSpPr>
      <xdr:spPr>
        <a:xfrm>
          <a:off x="5715000" y="781812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㉜</a:t>
          </a:r>
        </a:p>
      </xdr:txBody>
    </xdr:sp>
    <xdr:clientData/>
  </xdr:twoCellAnchor>
  <xdr:twoCellAnchor>
    <xdr:from>
      <xdr:col>9</xdr:col>
      <xdr:colOff>350520</xdr:colOff>
      <xdr:row>64</xdr:row>
      <xdr:rowOff>38100</xdr:rowOff>
    </xdr:from>
    <xdr:to>
      <xdr:col>10</xdr:col>
      <xdr:colOff>129540</xdr:colOff>
      <xdr:row>65</xdr:row>
      <xdr:rowOff>144780</xdr:rowOff>
    </xdr:to>
    <xdr:sp macro="" textlink="">
      <xdr:nvSpPr>
        <xdr:cNvPr id="250" name="正方形/長方形 249">
          <a:extLst>
            <a:ext uri="{FF2B5EF4-FFF2-40B4-BE49-F238E27FC236}">
              <a16:creationId xmlns:a16="http://schemas.microsoft.com/office/drawing/2014/main" id="{124874A4-F627-F14F-61D2-0DA29E15107C}"/>
            </a:ext>
          </a:extLst>
        </xdr:cNvPr>
        <xdr:cNvSpPr/>
      </xdr:nvSpPr>
      <xdr:spPr>
        <a:xfrm>
          <a:off x="5715000" y="849630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㉟</a:t>
          </a:r>
        </a:p>
      </xdr:txBody>
    </xdr:sp>
    <xdr:clientData/>
  </xdr:twoCellAnchor>
  <xdr:twoCellAnchor>
    <xdr:from>
      <xdr:col>13</xdr:col>
      <xdr:colOff>327660</xdr:colOff>
      <xdr:row>46</xdr:row>
      <xdr:rowOff>68580</xdr:rowOff>
    </xdr:from>
    <xdr:to>
      <xdr:col>14</xdr:col>
      <xdr:colOff>106680</xdr:colOff>
      <xdr:row>47</xdr:row>
      <xdr:rowOff>175260</xdr:rowOff>
    </xdr:to>
    <xdr:sp macro="" textlink="">
      <xdr:nvSpPr>
        <xdr:cNvPr id="251" name="正方形/長方形 250">
          <a:extLst>
            <a:ext uri="{FF2B5EF4-FFF2-40B4-BE49-F238E27FC236}">
              <a16:creationId xmlns:a16="http://schemas.microsoft.com/office/drawing/2014/main" id="{CAE038FC-A59C-25EF-58F6-E7319AD3A29C}"/>
            </a:ext>
          </a:extLst>
        </xdr:cNvPr>
        <xdr:cNvSpPr/>
      </xdr:nvSpPr>
      <xdr:spPr>
        <a:xfrm>
          <a:off x="8374380" y="441198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⑱</a:t>
          </a:r>
        </a:p>
      </xdr:txBody>
    </xdr:sp>
    <xdr:clientData/>
  </xdr:twoCellAnchor>
  <xdr:twoCellAnchor>
    <xdr:from>
      <xdr:col>13</xdr:col>
      <xdr:colOff>327660</xdr:colOff>
      <xdr:row>48</xdr:row>
      <xdr:rowOff>22860</xdr:rowOff>
    </xdr:from>
    <xdr:to>
      <xdr:col>14</xdr:col>
      <xdr:colOff>106680</xdr:colOff>
      <xdr:row>49</xdr:row>
      <xdr:rowOff>129540</xdr:rowOff>
    </xdr:to>
    <xdr:sp macro="" textlink="">
      <xdr:nvSpPr>
        <xdr:cNvPr id="252" name="正方形/長方形 251">
          <a:extLst>
            <a:ext uri="{FF2B5EF4-FFF2-40B4-BE49-F238E27FC236}">
              <a16:creationId xmlns:a16="http://schemas.microsoft.com/office/drawing/2014/main" id="{2E78E5D5-1813-E198-2EB0-EE6F99A67822}"/>
            </a:ext>
          </a:extLst>
        </xdr:cNvPr>
        <xdr:cNvSpPr/>
      </xdr:nvSpPr>
      <xdr:spPr>
        <a:xfrm>
          <a:off x="8374380" y="482346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⑲</a:t>
          </a:r>
        </a:p>
      </xdr:txBody>
    </xdr:sp>
    <xdr:clientData/>
  </xdr:twoCellAnchor>
  <xdr:twoCellAnchor>
    <xdr:from>
      <xdr:col>13</xdr:col>
      <xdr:colOff>327660</xdr:colOff>
      <xdr:row>49</xdr:row>
      <xdr:rowOff>68580</xdr:rowOff>
    </xdr:from>
    <xdr:to>
      <xdr:col>14</xdr:col>
      <xdr:colOff>106680</xdr:colOff>
      <xdr:row>50</xdr:row>
      <xdr:rowOff>175260</xdr:rowOff>
    </xdr:to>
    <xdr:sp macro="" textlink="">
      <xdr:nvSpPr>
        <xdr:cNvPr id="253" name="正方形/長方形 252">
          <a:extLst>
            <a:ext uri="{FF2B5EF4-FFF2-40B4-BE49-F238E27FC236}">
              <a16:creationId xmlns:a16="http://schemas.microsoft.com/office/drawing/2014/main" id="{8300798E-3432-68E9-55F4-972B4C581C17}"/>
            </a:ext>
          </a:extLst>
        </xdr:cNvPr>
        <xdr:cNvSpPr/>
      </xdr:nvSpPr>
      <xdr:spPr>
        <a:xfrm>
          <a:off x="8374380" y="509778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㉑</a:t>
          </a:r>
        </a:p>
      </xdr:txBody>
    </xdr:sp>
    <xdr:clientData/>
  </xdr:twoCellAnchor>
  <xdr:twoCellAnchor>
    <xdr:from>
      <xdr:col>13</xdr:col>
      <xdr:colOff>327660</xdr:colOff>
      <xdr:row>51</xdr:row>
      <xdr:rowOff>22860</xdr:rowOff>
    </xdr:from>
    <xdr:to>
      <xdr:col>14</xdr:col>
      <xdr:colOff>106680</xdr:colOff>
      <xdr:row>52</xdr:row>
      <xdr:rowOff>129540</xdr:rowOff>
    </xdr:to>
    <xdr:sp macro="" textlink="">
      <xdr:nvSpPr>
        <xdr:cNvPr id="254" name="正方形/長方形 253">
          <a:extLst>
            <a:ext uri="{FF2B5EF4-FFF2-40B4-BE49-F238E27FC236}">
              <a16:creationId xmlns:a16="http://schemas.microsoft.com/office/drawing/2014/main" id="{6D66CCEB-C85C-2197-1673-001BAAE4BA60}"/>
            </a:ext>
          </a:extLst>
        </xdr:cNvPr>
        <xdr:cNvSpPr/>
      </xdr:nvSpPr>
      <xdr:spPr>
        <a:xfrm>
          <a:off x="8374380" y="550926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㉒</a:t>
          </a:r>
        </a:p>
      </xdr:txBody>
    </xdr:sp>
    <xdr:clientData/>
  </xdr:twoCellAnchor>
  <xdr:twoCellAnchor>
    <xdr:from>
      <xdr:col>13</xdr:col>
      <xdr:colOff>327660</xdr:colOff>
      <xdr:row>52</xdr:row>
      <xdr:rowOff>76200</xdr:rowOff>
    </xdr:from>
    <xdr:to>
      <xdr:col>14</xdr:col>
      <xdr:colOff>106680</xdr:colOff>
      <xdr:row>53</xdr:row>
      <xdr:rowOff>182880</xdr:rowOff>
    </xdr:to>
    <xdr:sp macro="" textlink="">
      <xdr:nvSpPr>
        <xdr:cNvPr id="255" name="正方形/長方形 254">
          <a:extLst>
            <a:ext uri="{FF2B5EF4-FFF2-40B4-BE49-F238E27FC236}">
              <a16:creationId xmlns:a16="http://schemas.microsoft.com/office/drawing/2014/main" id="{C4A97D06-6894-5202-22E7-EC08EE1549A7}"/>
            </a:ext>
          </a:extLst>
        </xdr:cNvPr>
        <xdr:cNvSpPr/>
      </xdr:nvSpPr>
      <xdr:spPr>
        <a:xfrm>
          <a:off x="8374380" y="579120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㉔</a:t>
          </a:r>
        </a:p>
      </xdr:txBody>
    </xdr:sp>
    <xdr:clientData/>
  </xdr:twoCellAnchor>
  <xdr:twoCellAnchor>
    <xdr:from>
      <xdr:col>13</xdr:col>
      <xdr:colOff>327660</xdr:colOff>
      <xdr:row>54</xdr:row>
      <xdr:rowOff>30480</xdr:rowOff>
    </xdr:from>
    <xdr:to>
      <xdr:col>14</xdr:col>
      <xdr:colOff>106680</xdr:colOff>
      <xdr:row>55</xdr:row>
      <xdr:rowOff>137160</xdr:rowOff>
    </xdr:to>
    <xdr:sp macro="" textlink="">
      <xdr:nvSpPr>
        <xdr:cNvPr id="256" name="正方形/長方形 255">
          <a:extLst>
            <a:ext uri="{FF2B5EF4-FFF2-40B4-BE49-F238E27FC236}">
              <a16:creationId xmlns:a16="http://schemas.microsoft.com/office/drawing/2014/main" id="{35E383EC-AB77-956E-2B38-293326FCCBFE}"/>
            </a:ext>
          </a:extLst>
        </xdr:cNvPr>
        <xdr:cNvSpPr/>
      </xdr:nvSpPr>
      <xdr:spPr>
        <a:xfrm>
          <a:off x="8374380" y="620268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㉕</a:t>
          </a:r>
        </a:p>
      </xdr:txBody>
    </xdr:sp>
    <xdr:clientData/>
  </xdr:twoCellAnchor>
  <xdr:twoCellAnchor>
    <xdr:from>
      <xdr:col>13</xdr:col>
      <xdr:colOff>327660</xdr:colOff>
      <xdr:row>55</xdr:row>
      <xdr:rowOff>76200</xdr:rowOff>
    </xdr:from>
    <xdr:to>
      <xdr:col>14</xdr:col>
      <xdr:colOff>106680</xdr:colOff>
      <xdr:row>56</xdr:row>
      <xdr:rowOff>182880</xdr:rowOff>
    </xdr:to>
    <xdr:sp macro="" textlink="">
      <xdr:nvSpPr>
        <xdr:cNvPr id="257" name="正方形/長方形 256">
          <a:extLst>
            <a:ext uri="{FF2B5EF4-FFF2-40B4-BE49-F238E27FC236}">
              <a16:creationId xmlns:a16="http://schemas.microsoft.com/office/drawing/2014/main" id="{237D60DC-06A8-8879-393B-D37335F9B9D5}"/>
            </a:ext>
          </a:extLst>
        </xdr:cNvPr>
        <xdr:cNvSpPr/>
      </xdr:nvSpPr>
      <xdr:spPr>
        <a:xfrm>
          <a:off x="8374380" y="647700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㉗</a:t>
          </a:r>
        </a:p>
      </xdr:txBody>
    </xdr:sp>
    <xdr:clientData/>
  </xdr:twoCellAnchor>
  <xdr:twoCellAnchor>
    <xdr:from>
      <xdr:col>13</xdr:col>
      <xdr:colOff>327660</xdr:colOff>
      <xdr:row>57</xdr:row>
      <xdr:rowOff>30480</xdr:rowOff>
    </xdr:from>
    <xdr:to>
      <xdr:col>14</xdr:col>
      <xdr:colOff>106680</xdr:colOff>
      <xdr:row>58</xdr:row>
      <xdr:rowOff>137160</xdr:rowOff>
    </xdr:to>
    <xdr:sp macro="" textlink="">
      <xdr:nvSpPr>
        <xdr:cNvPr id="258" name="正方形/長方形 257">
          <a:extLst>
            <a:ext uri="{FF2B5EF4-FFF2-40B4-BE49-F238E27FC236}">
              <a16:creationId xmlns:a16="http://schemas.microsoft.com/office/drawing/2014/main" id="{814360E6-B9F7-D016-564A-563D2D687B06}"/>
            </a:ext>
          </a:extLst>
        </xdr:cNvPr>
        <xdr:cNvSpPr/>
      </xdr:nvSpPr>
      <xdr:spPr>
        <a:xfrm>
          <a:off x="8374380" y="688848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㉘</a:t>
          </a:r>
        </a:p>
      </xdr:txBody>
    </xdr:sp>
    <xdr:clientData/>
  </xdr:twoCellAnchor>
  <xdr:twoCellAnchor>
    <xdr:from>
      <xdr:col>13</xdr:col>
      <xdr:colOff>327660</xdr:colOff>
      <xdr:row>58</xdr:row>
      <xdr:rowOff>83820</xdr:rowOff>
    </xdr:from>
    <xdr:to>
      <xdr:col>14</xdr:col>
      <xdr:colOff>106680</xdr:colOff>
      <xdr:row>59</xdr:row>
      <xdr:rowOff>190500</xdr:rowOff>
    </xdr:to>
    <xdr:sp macro="" textlink="">
      <xdr:nvSpPr>
        <xdr:cNvPr id="259" name="正方形/長方形 258">
          <a:extLst>
            <a:ext uri="{FF2B5EF4-FFF2-40B4-BE49-F238E27FC236}">
              <a16:creationId xmlns:a16="http://schemas.microsoft.com/office/drawing/2014/main" id="{5B35F397-3793-0878-C858-F66409AC150E}"/>
            </a:ext>
          </a:extLst>
        </xdr:cNvPr>
        <xdr:cNvSpPr/>
      </xdr:nvSpPr>
      <xdr:spPr>
        <a:xfrm>
          <a:off x="8374380" y="717042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㉚</a:t>
          </a:r>
        </a:p>
      </xdr:txBody>
    </xdr:sp>
    <xdr:clientData/>
  </xdr:twoCellAnchor>
  <xdr:twoCellAnchor>
    <xdr:from>
      <xdr:col>13</xdr:col>
      <xdr:colOff>327660</xdr:colOff>
      <xdr:row>60</xdr:row>
      <xdr:rowOff>38100</xdr:rowOff>
    </xdr:from>
    <xdr:to>
      <xdr:col>14</xdr:col>
      <xdr:colOff>106680</xdr:colOff>
      <xdr:row>61</xdr:row>
      <xdr:rowOff>144780</xdr:rowOff>
    </xdr:to>
    <xdr:sp macro="" textlink="">
      <xdr:nvSpPr>
        <xdr:cNvPr id="260" name="正方形/長方形 259">
          <a:extLst>
            <a:ext uri="{FF2B5EF4-FFF2-40B4-BE49-F238E27FC236}">
              <a16:creationId xmlns:a16="http://schemas.microsoft.com/office/drawing/2014/main" id="{841B04EF-0B1E-A372-E49D-F69E55B392CF}"/>
            </a:ext>
          </a:extLst>
        </xdr:cNvPr>
        <xdr:cNvSpPr/>
      </xdr:nvSpPr>
      <xdr:spPr>
        <a:xfrm>
          <a:off x="8374380" y="758190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㉛</a:t>
          </a:r>
        </a:p>
      </xdr:txBody>
    </xdr:sp>
    <xdr:clientData/>
  </xdr:twoCellAnchor>
  <xdr:twoCellAnchor>
    <xdr:from>
      <xdr:col>13</xdr:col>
      <xdr:colOff>327660</xdr:colOff>
      <xdr:row>61</xdr:row>
      <xdr:rowOff>76200</xdr:rowOff>
    </xdr:from>
    <xdr:to>
      <xdr:col>14</xdr:col>
      <xdr:colOff>106680</xdr:colOff>
      <xdr:row>62</xdr:row>
      <xdr:rowOff>182880</xdr:rowOff>
    </xdr:to>
    <xdr:sp macro="" textlink="">
      <xdr:nvSpPr>
        <xdr:cNvPr id="261" name="正方形/長方形 260">
          <a:extLst>
            <a:ext uri="{FF2B5EF4-FFF2-40B4-BE49-F238E27FC236}">
              <a16:creationId xmlns:a16="http://schemas.microsoft.com/office/drawing/2014/main" id="{7948E391-2791-B082-D922-385C35718B9B}"/>
            </a:ext>
          </a:extLst>
        </xdr:cNvPr>
        <xdr:cNvSpPr/>
      </xdr:nvSpPr>
      <xdr:spPr>
        <a:xfrm>
          <a:off x="8374380" y="784860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㉝</a:t>
          </a:r>
        </a:p>
      </xdr:txBody>
    </xdr:sp>
    <xdr:clientData/>
  </xdr:twoCellAnchor>
  <xdr:twoCellAnchor>
    <xdr:from>
      <xdr:col>13</xdr:col>
      <xdr:colOff>327660</xdr:colOff>
      <xdr:row>63</xdr:row>
      <xdr:rowOff>30480</xdr:rowOff>
    </xdr:from>
    <xdr:to>
      <xdr:col>14</xdr:col>
      <xdr:colOff>106680</xdr:colOff>
      <xdr:row>64</xdr:row>
      <xdr:rowOff>137160</xdr:rowOff>
    </xdr:to>
    <xdr:sp macro="" textlink="">
      <xdr:nvSpPr>
        <xdr:cNvPr id="262" name="正方形/長方形 261">
          <a:extLst>
            <a:ext uri="{FF2B5EF4-FFF2-40B4-BE49-F238E27FC236}">
              <a16:creationId xmlns:a16="http://schemas.microsoft.com/office/drawing/2014/main" id="{92DEBB37-D394-C18C-8FFE-91C8C22899F9}"/>
            </a:ext>
          </a:extLst>
        </xdr:cNvPr>
        <xdr:cNvSpPr/>
      </xdr:nvSpPr>
      <xdr:spPr>
        <a:xfrm>
          <a:off x="8374380" y="826008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㉞</a:t>
          </a:r>
        </a:p>
      </xdr:txBody>
    </xdr:sp>
    <xdr:clientData/>
  </xdr:twoCellAnchor>
  <xdr:twoCellAnchor>
    <xdr:from>
      <xdr:col>13</xdr:col>
      <xdr:colOff>327660</xdr:colOff>
      <xdr:row>64</xdr:row>
      <xdr:rowOff>68580</xdr:rowOff>
    </xdr:from>
    <xdr:to>
      <xdr:col>14</xdr:col>
      <xdr:colOff>106680</xdr:colOff>
      <xdr:row>65</xdr:row>
      <xdr:rowOff>175260</xdr:rowOff>
    </xdr:to>
    <xdr:sp macro="" textlink="">
      <xdr:nvSpPr>
        <xdr:cNvPr id="263" name="正方形/長方形 262">
          <a:extLst>
            <a:ext uri="{FF2B5EF4-FFF2-40B4-BE49-F238E27FC236}">
              <a16:creationId xmlns:a16="http://schemas.microsoft.com/office/drawing/2014/main" id="{9BF29882-B712-C555-DDD0-82DD57E227D3}"/>
            </a:ext>
          </a:extLst>
        </xdr:cNvPr>
        <xdr:cNvSpPr/>
      </xdr:nvSpPr>
      <xdr:spPr>
        <a:xfrm>
          <a:off x="8374380" y="852678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㊱</a:t>
          </a:r>
        </a:p>
      </xdr:txBody>
    </xdr:sp>
    <xdr:clientData/>
  </xdr:twoCellAnchor>
  <xdr:twoCellAnchor>
    <xdr:from>
      <xdr:col>13</xdr:col>
      <xdr:colOff>327660</xdr:colOff>
      <xdr:row>66</xdr:row>
      <xdr:rowOff>22860</xdr:rowOff>
    </xdr:from>
    <xdr:to>
      <xdr:col>14</xdr:col>
      <xdr:colOff>106680</xdr:colOff>
      <xdr:row>67</xdr:row>
      <xdr:rowOff>129540</xdr:rowOff>
    </xdr:to>
    <xdr:sp macro="" textlink="">
      <xdr:nvSpPr>
        <xdr:cNvPr id="264" name="正方形/長方形 263">
          <a:extLst>
            <a:ext uri="{FF2B5EF4-FFF2-40B4-BE49-F238E27FC236}">
              <a16:creationId xmlns:a16="http://schemas.microsoft.com/office/drawing/2014/main" id="{FFBE0D6B-594F-86C0-8E27-A65EEBA48154}"/>
            </a:ext>
          </a:extLst>
        </xdr:cNvPr>
        <xdr:cNvSpPr/>
      </xdr:nvSpPr>
      <xdr:spPr>
        <a:xfrm>
          <a:off x="8374380" y="893826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㊲</a:t>
          </a:r>
        </a:p>
      </xdr:txBody>
    </xdr:sp>
    <xdr:clientData/>
  </xdr:twoCellAnchor>
  <xdr:twoCellAnchor>
    <xdr:from>
      <xdr:col>10</xdr:col>
      <xdr:colOff>0</xdr:colOff>
      <xdr:row>69</xdr:row>
      <xdr:rowOff>0</xdr:rowOff>
    </xdr:from>
    <xdr:to>
      <xdr:col>12</xdr:col>
      <xdr:colOff>320040</xdr:colOff>
      <xdr:row>69</xdr:row>
      <xdr:rowOff>205740</xdr:rowOff>
    </xdr:to>
    <xdr:sp macro="" textlink="">
      <xdr:nvSpPr>
        <xdr:cNvPr id="269" name="正方形/長方形 268">
          <a:extLst>
            <a:ext uri="{FF2B5EF4-FFF2-40B4-BE49-F238E27FC236}">
              <a16:creationId xmlns:a16="http://schemas.microsoft.com/office/drawing/2014/main" id="{4E710D03-1F73-4A0D-BD91-D360E15175FB}"/>
            </a:ext>
          </a:extLst>
        </xdr:cNvPr>
        <xdr:cNvSpPr/>
      </xdr:nvSpPr>
      <xdr:spPr>
        <a:xfrm>
          <a:off x="6035040" y="9601200"/>
          <a:ext cx="1661160" cy="20574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(tables)_m</a:t>
          </a:r>
          <a:endParaRPr kumimoji="1" lang="ja-JP" altLang="en-US" sz="1000"/>
        </a:p>
      </xdr:txBody>
    </xdr:sp>
    <xdr:clientData/>
  </xdr:twoCellAnchor>
  <xdr:twoCellAnchor>
    <xdr:from>
      <xdr:col>12</xdr:col>
      <xdr:colOff>320040</xdr:colOff>
      <xdr:row>69</xdr:row>
      <xdr:rowOff>102870</xdr:rowOff>
    </xdr:from>
    <xdr:to>
      <xdr:col>14</xdr:col>
      <xdr:colOff>0</xdr:colOff>
      <xdr:row>69</xdr:row>
      <xdr:rowOff>102870</xdr:rowOff>
    </xdr:to>
    <xdr:cxnSp macro="">
      <xdr:nvCxnSpPr>
        <xdr:cNvPr id="270" name="直線矢印コネクタ 269">
          <a:extLst>
            <a:ext uri="{FF2B5EF4-FFF2-40B4-BE49-F238E27FC236}">
              <a16:creationId xmlns:a16="http://schemas.microsoft.com/office/drawing/2014/main" id="{E0B0FFFC-F5E5-42BE-9BD3-7D60FE9883E9}"/>
            </a:ext>
          </a:extLst>
        </xdr:cNvPr>
        <xdr:cNvCxnSpPr>
          <a:stCxn id="269" idx="3"/>
          <a:endCxn id="134" idx="1"/>
        </xdr:cNvCxnSpPr>
      </xdr:nvCxnSpPr>
      <xdr:spPr>
        <a:xfrm>
          <a:off x="7696200" y="9704070"/>
          <a:ext cx="102108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0</xdr:colOff>
      <xdr:row>71</xdr:row>
      <xdr:rowOff>0</xdr:rowOff>
    </xdr:from>
    <xdr:to>
      <xdr:col>12</xdr:col>
      <xdr:colOff>320040</xdr:colOff>
      <xdr:row>71</xdr:row>
      <xdr:rowOff>205740</xdr:rowOff>
    </xdr:to>
    <xdr:sp macro="" textlink="">
      <xdr:nvSpPr>
        <xdr:cNvPr id="274" name="正方形/長方形 273">
          <a:extLst>
            <a:ext uri="{FF2B5EF4-FFF2-40B4-BE49-F238E27FC236}">
              <a16:creationId xmlns:a16="http://schemas.microsoft.com/office/drawing/2014/main" id="{D509B592-E595-4DAD-B70A-0D081E10CD86}"/>
            </a:ext>
          </a:extLst>
        </xdr:cNvPr>
        <xdr:cNvSpPr/>
      </xdr:nvSpPr>
      <xdr:spPr>
        <a:xfrm>
          <a:off x="6035040" y="10058400"/>
          <a:ext cx="1661160" cy="20574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condition_occurrence_m</a:t>
          </a:r>
          <a:endParaRPr kumimoji="1" lang="ja-JP" altLang="en-US" sz="1000"/>
        </a:p>
      </xdr:txBody>
    </xdr:sp>
    <xdr:clientData/>
  </xdr:twoCellAnchor>
  <xdr:twoCellAnchor>
    <xdr:from>
      <xdr:col>12</xdr:col>
      <xdr:colOff>320040</xdr:colOff>
      <xdr:row>71</xdr:row>
      <xdr:rowOff>102870</xdr:rowOff>
    </xdr:from>
    <xdr:to>
      <xdr:col>14</xdr:col>
      <xdr:colOff>0</xdr:colOff>
      <xdr:row>71</xdr:row>
      <xdr:rowOff>102870</xdr:rowOff>
    </xdr:to>
    <xdr:cxnSp macro="">
      <xdr:nvCxnSpPr>
        <xdr:cNvPr id="275" name="直線矢印コネクタ 274">
          <a:extLst>
            <a:ext uri="{FF2B5EF4-FFF2-40B4-BE49-F238E27FC236}">
              <a16:creationId xmlns:a16="http://schemas.microsoft.com/office/drawing/2014/main" id="{09806423-BEFC-42E8-9BA4-279BE9F98849}"/>
            </a:ext>
          </a:extLst>
        </xdr:cNvPr>
        <xdr:cNvCxnSpPr>
          <a:stCxn id="274" idx="3"/>
          <a:endCxn id="135" idx="1"/>
        </xdr:cNvCxnSpPr>
      </xdr:nvCxnSpPr>
      <xdr:spPr>
        <a:xfrm>
          <a:off x="7696200" y="10161270"/>
          <a:ext cx="102108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0</xdr:colOff>
      <xdr:row>73</xdr:row>
      <xdr:rowOff>0</xdr:rowOff>
    </xdr:from>
    <xdr:to>
      <xdr:col>12</xdr:col>
      <xdr:colOff>320040</xdr:colOff>
      <xdr:row>73</xdr:row>
      <xdr:rowOff>205740</xdr:rowOff>
    </xdr:to>
    <xdr:sp macro="" textlink="">
      <xdr:nvSpPr>
        <xdr:cNvPr id="279" name="正方形/長方形 278">
          <a:extLst>
            <a:ext uri="{FF2B5EF4-FFF2-40B4-BE49-F238E27FC236}">
              <a16:creationId xmlns:a16="http://schemas.microsoft.com/office/drawing/2014/main" id="{03CAF108-53AB-415A-9647-B7B284306A5B}"/>
            </a:ext>
          </a:extLst>
        </xdr:cNvPr>
        <xdr:cNvSpPr/>
      </xdr:nvSpPr>
      <xdr:spPr>
        <a:xfrm>
          <a:off x="6035040" y="10515600"/>
          <a:ext cx="1661160" cy="20574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drug_exposure_m</a:t>
          </a:r>
          <a:endParaRPr kumimoji="1" lang="ja-JP" altLang="en-US" sz="1000"/>
        </a:p>
      </xdr:txBody>
    </xdr:sp>
    <xdr:clientData/>
  </xdr:twoCellAnchor>
  <xdr:twoCellAnchor>
    <xdr:from>
      <xdr:col>12</xdr:col>
      <xdr:colOff>320040</xdr:colOff>
      <xdr:row>73</xdr:row>
      <xdr:rowOff>102870</xdr:rowOff>
    </xdr:from>
    <xdr:to>
      <xdr:col>14</xdr:col>
      <xdr:colOff>0</xdr:colOff>
      <xdr:row>73</xdr:row>
      <xdr:rowOff>102870</xdr:rowOff>
    </xdr:to>
    <xdr:cxnSp macro="">
      <xdr:nvCxnSpPr>
        <xdr:cNvPr id="280" name="直線矢印コネクタ 279">
          <a:extLst>
            <a:ext uri="{FF2B5EF4-FFF2-40B4-BE49-F238E27FC236}">
              <a16:creationId xmlns:a16="http://schemas.microsoft.com/office/drawing/2014/main" id="{A66C933F-7C69-4D42-A73A-D3EBF6479DDC}"/>
            </a:ext>
          </a:extLst>
        </xdr:cNvPr>
        <xdr:cNvCxnSpPr>
          <a:stCxn id="279" idx="3"/>
          <a:endCxn id="136" idx="1"/>
        </xdr:cNvCxnSpPr>
      </xdr:nvCxnSpPr>
      <xdr:spPr>
        <a:xfrm>
          <a:off x="7696200" y="10618470"/>
          <a:ext cx="102108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320040</xdr:colOff>
      <xdr:row>73</xdr:row>
      <xdr:rowOff>102870</xdr:rowOff>
    </xdr:from>
    <xdr:to>
      <xdr:col>14</xdr:col>
      <xdr:colOff>0</xdr:colOff>
      <xdr:row>75</xdr:row>
      <xdr:rowOff>102870</xdr:rowOff>
    </xdr:to>
    <xdr:cxnSp macro="">
      <xdr:nvCxnSpPr>
        <xdr:cNvPr id="283" name="直線矢印コネクタ 282">
          <a:extLst>
            <a:ext uri="{FF2B5EF4-FFF2-40B4-BE49-F238E27FC236}">
              <a16:creationId xmlns:a16="http://schemas.microsoft.com/office/drawing/2014/main" id="{9F18AA6F-099C-4BDD-ACCF-F2D80A27E700}"/>
            </a:ext>
          </a:extLst>
        </xdr:cNvPr>
        <xdr:cNvCxnSpPr>
          <a:stCxn id="279" idx="3"/>
          <a:endCxn id="137" idx="1"/>
        </xdr:cNvCxnSpPr>
      </xdr:nvCxnSpPr>
      <xdr:spPr>
        <a:xfrm>
          <a:off x="7696200" y="10618470"/>
          <a:ext cx="1021080" cy="4572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327660</xdr:colOff>
      <xdr:row>68</xdr:row>
      <xdr:rowOff>60960</xdr:rowOff>
    </xdr:from>
    <xdr:to>
      <xdr:col>14</xdr:col>
      <xdr:colOff>106680</xdr:colOff>
      <xdr:row>69</xdr:row>
      <xdr:rowOff>167640</xdr:rowOff>
    </xdr:to>
    <xdr:sp macro="" textlink="">
      <xdr:nvSpPr>
        <xdr:cNvPr id="287" name="正方形/長方形 286">
          <a:extLst>
            <a:ext uri="{FF2B5EF4-FFF2-40B4-BE49-F238E27FC236}">
              <a16:creationId xmlns:a16="http://schemas.microsoft.com/office/drawing/2014/main" id="{EED9FBEF-8791-D987-1B48-36C60B3741AA}"/>
            </a:ext>
          </a:extLst>
        </xdr:cNvPr>
        <xdr:cNvSpPr/>
      </xdr:nvSpPr>
      <xdr:spPr>
        <a:xfrm>
          <a:off x="8374380" y="943356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㊳</a:t>
          </a:r>
        </a:p>
      </xdr:txBody>
    </xdr:sp>
    <xdr:clientData/>
  </xdr:twoCellAnchor>
  <xdr:twoCellAnchor>
    <xdr:from>
      <xdr:col>13</xdr:col>
      <xdr:colOff>327660</xdr:colOff>
      <xdr:row>70</xdr:row>
      <xdr:rowOff>68580</xdr:rowOff>
    </xdr:from>
    <xdr:to>
      <xdr:col>14</xdr:col>
      <xdr:colOff>106680</xdr:colOff>
      <xdr:row>71</xdr:row>
      <xdr:rowOff>175260</xdr:rowOff>
    </xdr:to>
    <xdr:sp macro="" textlink="">
      <xdr:nvSpPr>
        <xdr:cNvPr id="288" name="正方形/長方形 287">
          <a:extLst>
            <a:ext uri="{FF2B5EF4-FFF2-40B4-BE49-F238E27FC236}">
              <a16:creationId xmlns:a16="http://schemas.microsoft.com/office/drawing/2014/main" id="{2F00E34E-7204-CFC4-8971-4BE5241C8E37}"/>
            </a:ext>
          </a:extLst>
        </xdr:cNvPr>
        <xdr:cNvSpPr/>
      </xdr:nvSpPr>
      <xdr:spPr>
        <a:xfrm>
          <a:off x="8374380" y="989838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㊴</a:t>
          </a:r>
        </a:p>
      </xdr:txBody>
    </xdr:sp>
    <xdr:clientData/>
  </xdr:twoCellAnchor>
  <xdr:twoCellAnchor>
    <xdr:from>
      <xdr:col>13</xdr:col>
      <xdr:colOff>327660</xdr:colOff>
      <xdr:row>72</xdr:row>
      <xdr:rowOff>76200</xdr:rowOff>
    </xdr:from>
    <xdr:to>
      <xdr:col>14</xdr:col>
      <xdr:colOff>106680</xdr:colOff>
      <xdr:row>73</xdr:row>
      <xdr:rowOff>182880</xdr:rowOff>
    </xdr:to>
    <xdr:sp macro="" textlink="">
      <xdr:nvSpPr>
        <xdr:cNvPr id="289" name="正方形/長方形 288">
          <a:extLst>
            <a:ext uri="{FF2B5EF4-FFF2-40B4-BE49-F238E27FC236}">
              <a16:creationId xmlns:a16="http://schemas.microsoft.com/office/drawing/2014/main" id="{26B6D68F-A9D0-C270-161C-4EB2AFE18B13}"/>
            </a:ext>
          </a:extLst>
        </xdr:cNvPr>
        <xdr:cNvSpPr/>
      </xdr:nvSpPr>
      <xdr:spPr>
        <a:xfrm>
          <a:off x="8374380" y="1036320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㊵</a:t>
          </a:r>
        </a:p>
      </xdr:txBody>
    </xdr:sp>
    <xdr:clientData/>
  </xdr:twoCellAnchor>
  <xdr:twoCellAnchor>
    <xdr:from>
      <xdr:col>13</xdr:col>
      <xdr:colOff>327660</xdr:colOff>
      <xdr:row>74</xdr:row>
      <xdr:rowOff>220980</xdr:rowOff>
    </xdr:from>
    <xdr:to>
      <xdr:col>14</xdr:col>
      <xdr:colOff>106680</xdr:colOff>
      <xdr:row>76</xdr:row>
      <xdr:rowOff>99060</xdr:rowOff>
    </xdr:to>
    <xdr:sp macro="" textlink="">
      <xdr:nvSpPr>
        <xdr:cNvPr id="290" name="正方形/長方形 289">
          <a:extLst>
            <a:ext uri="{FF2B5EF4-FFF2-40B4-BE49-F238E27FC236}">
              <a16:creationId xmlns:a16="http://schemas.microsoft.com/office/drawing/2014/main" id="{A0DC0802-413C-BD84-FCC3-608802826FED}"/>
            </a:ext>
          </a:extLst>
        </xdr:cNvPr>
        <xdr:cNvSpPr/>
      </xdr:nvSpPr>
      <xdr:spPr>
        <a:xfrm>
          <a:off x="8374380" y="1096518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㊶</a:t>
          </a:r>
        </a:p>
      </xdr:txBody>
    </xdr:sp>
    <xdr:clientData/>
  </xdr:twoCellAnchor>
  <xdr:twoCellAnchor>
    <xdr:from>
      <xdr:col>18</xdr:col>
      <xdr:colOff>0</xdr:colOff>
      <xdr:row>69</xdr:row>
      <xdr:rowOff>0</xdr:rowOff>
    </xdr:from>
    <xdr:to>
      <xdr:col>20</xdr:col>
      <xdr:colOff>320040</xdr:colOff>
      <xdr:row>69</xdr:row>
      <xdr:rowOff>205740</xdr:rowOff>
    </xdr:to>
    <xdr:sp macro="" textlink="">
      <xdr:nvSpPr>
        <xdr:cNvPr id="291" name="正方形/長方形 290">
          <a:extLst>
            <a:ext uri="{FF2B5EF4-FFF2-40B4-BE49-F238E27FC236}">
              <a16:creationId xmlns:a16="http://schemas.microsoft.com/office/drawing/2014/main" id="{571A0C0D-7132-403C-B9C3-5889926D2AFF}"/>
            </a:ext>
          </a:extLst>
        </xdr:cNvPr>
        <xdr:cNvSpPr/>
      </xdr:nvSpPr>
      <xdr:spPr>
        <a:xfrm>
          <a:off x="11399520" y="9601200"/>
          <a:ext cx="1661160" cy="205740"/>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solidFill>
                <a:srgbClr val="0000CC"/>
              </a:solidFill>
            </a:rPr>
            <a:t>observation_period</a:t>
          </a:r>
          <a:endParaRPr kumimoji="1" lang="ja-JP" altLang="en-US" sz="1000">
            <a:solidFill>
              <a:srgbClr val="0000CC"/>
            </a:solidFill>
          </a:endParaRPr>
        </a:p>
      </xdr:txBody>
    </xdr:sp>
    <xdr:clientData/>
  </xdr:twoCellAnchor>
  <xdr:twoCellAnchor>
    <xdr:from>
      <xdr:col>18</xdr:col>
      <xdr:colOff>0</xdr:colOff>
      <xdr:row>71</xdr:row>
      <xdr:rowOff>0</xdr:rowOff>
    </xdr:from>
    <xdr:to>
      <xdr:col>20</xdr:col>
      <xdr:colOff>320040</xdr:colOff>
      <xdr:row>71</xdr:row>
      <xdr:rowOff>205740</xdr:rowOff>
    </xdr:to>
    <xdr:sp macro="" textlink="">
      <xdr:nvSpPr>
        <xdr:cNvPr id="292" name="正方形/長方形 291">
          <a:extLst>
            <a:ext uri="{FF2B5EF4-FFF2-40B4-BE49-F238E27FC236}">
              <a16:creationId xmlns:a16="http://schemas.microsoft.com/office/drawing/2014/main" id="{C6AC4933-E403-4840-BEEB-EAD2A41426B0}"/>
            </a:ext>
          </a:extLst>
        </xdr:cNvPr>
        <xdr:cNvSpPr/>
      </xdr:nvSpPr>
      <xdr:spPr>
        <a:xfrm>
          <a:off x="11399520" y="10058400"/>
          <a:ext cx="1661160" cy="205740"/>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solidFill>
                <a:srgbClr val="0000CC"/>
              </a:solidFill>
            </a:rPr>
            <a:t>condition_era</a:t>
          </a:r>
          <a:endParaRPr kumimoji="1" lang="ja-JP" altLang="en-US" sz="1000">
            <a:solidFill>
              <a:srgbClr val="0000CC"/>
            </a:solidFill>
          </a:endParaRPr>
        </a:p>
      </xdr:txBody>
    </xdr:sp>
    <xdr:clientData/>
  </xdr:twoCellAnchor>
  <xdr:twoCellAnchor>
    <xdr:from>
      <xdr:col>18</xdr:col>
      <xdr:colOff>0</xdr:colOff>
      <xdr:row>73</xdr:row>
      <xdr:rowOff>0</xdr:rowOff>
    </xdr:from>
    <xdr:to>
      <xdr:col>20</xdr:col>
      <xdr:colOff>320040</xdr:colOff>
      <xdr:row>73</xdr:row>
      <xdr:rowOff>205740</xdr:rowOff>
    </xdr:to>
    <xdr:sp macro="" textlink="">
      <xdr:nvSpPr>
        <xdr:cNvPr id="293" name="正方形/長方形 292">
          <a:extLst>
            <a:ext uri="{FF2B5EF4-FFF2-40B4-BE49-F238E27FC236}">
              <a16:creationId xmlns:a16="http://schemas.microsoft.com/office/drawing/2014/main" id="{4B585FB2-9159-4D76-B8F8-6AB2C5E8187A}"/>
            </a:ext>
          </a:extLst>
        </xdr:cNvPr>
        <xdr:cNvSpPr/>
      </xdr:nvSpPr>
      <xdr:spPr>
        <a:xfrm>
          <a:off x="11399520" y="10515600"/>
          <a:ext cx="1661160" cy="205740"/>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solidFill>
                <a:srgbClr val="0000CC"/>
              </a:solidFill>
            </a:rPr>
            <a:t>dose_era</a:t>
          </a:r>
          <a:endParaRPr kumimoji="1" lang="ja-JP" altLang="en-US" sz="1000">
            <a:solidFill>
              <a:srgbClr val="0000CC"/>
            </a:solidFill>
          </a:endParaRPr>
        </a:p>
      </xdr:txBody>
    </xdr:sp>
    <xdr:clientData/>
  </xdr:twoCellAnchor>
  <xdr:twoCellAnchor>
    <xdr:from>
      <xdr:col>18</xdr:col>
      <xdr:colOff>0</xdr:colOff>
      <xdr:row>75</xdr:row>
      <xdr:rowOff>0</xdr:rowOff>
    </xdr:from>
    <xdr:to>
      <xdr:col>20</xdr:col>
      <xdr:colOff>320040</xdr:colOff>
      <xdr:row>75</xdr:row>
      <xdr:rowOff>205740</xdr:rowOff>
    </xdr:to>
    <xdr:sp macro="" textlink="">
      <xdr:nvSpPr>
        <xdr:cNvPr id="294" name="正方形/長方形 293">
          <a:extLst>
            <a:ext uri="{FF2B5EF4-FFF2-40B4-BE49-F238E27FC236}">
              <a16:creationId xmlns:a16="http://schemas.microsoft.com/office/drawing/2014/main" id="{14B3AA60-A6A6-4C22-94E4-7D7B558A1BCB}"/>
            </a:ext>
          </a:extLst>
        </xdr:cNvPr>
        <xdr:cNvSpPr/>
      </xdr:nvSpPr>
      <xdr:spPr>
        <a:xfrm>
          <a:off x="11399520" y="10972800"/>
          <a:ext cx="1661160" cy="205740"/>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solidFill>
                <a:srgbClr val="0000CC"/>
              </a:solidFill>
            </a:rPr>
            <a:t>drug_era</a:t>
          </a:r>
          <a:endParaRPr kumimoji="1" lang="ja-JP" altLang="en-US" sz="1000">
            <a:solidFill>
              <a:srgbClr val="0000CC"/>
            </a:solidFill>
          </a:endParaRPr>
        </a:p>
      </xdr:txBody>
    </xdr:sp>
    <xdr:clientData/>
  </xdr:twoCellAnchor>
  <xdr:twoCellAnchor>
    <xdr:from>
      <xdr:col>16</xdr:col>
      <xdr:colOff>320040</xdr:colOff>
      <xdr:row>69</xdr:row>
      <xdr:rowOff>102870</xdr:rowOff>
    </xdr:from>
    <xdr:to>
      <xdr:col>18</xdr:col>
      <xdr:colOff>0</xdr:colOff>
      <xdr:row>69</xdr:row>
      <xdr:rowOff>102870</xdr:rowOff>
    </xdr:to>
    <xdr:cxnSp macro="">
      <xdr:nvCxnSpPr>
        <xdr:cNvPr id="295" name="直線矢印コネクタ 294">
          <a:extLst>
            <a:ext uri="{FF2B5EF4-FFF2-40B4-BE49-F238E27FC236}">
              <a16:creationId xmlns:a16="http://schemas.microsoft.com/office/drawing/2014/main" id="{EBDBE539-B610-4635-AEFE-AB5721F98891}"/>
            </a:ext>
          </a:extLst>
        </xdr:cNvPr>
        <xdr:cNvCxnSpPr>
          <a:stCxn id="134" idx="3"/>
          <a:endCxn id="291" idx="1"/>
        </xdr:cNvCxnSpPr>
      </xdr:nvCxnSpPr>
      <xdr:spPr>
        <a:xfrm>
          <a:off x="10378440" y="9704070"/>
          <a:ext cx="102108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320040</xdr:colOff>
      <xdr:row>71</xdr:row>
      <xdr:rowOff>102870</xdr:rowOff>
    </xdr:from>
    <xdr:to>
      <xdr:col>18</xdr:col>
      <xdr:colOff>0</xdr:colOff>
      <xdr:row>71</xdr:row>
      <xdr:rowOff>102870</xdr:rowOff>
    </xdr:to>
    <xdr:cxnSp macro="">
      <xdr:nvCxnSpPr>
        <xdr:cNvPr id="298" name="直線矢印コネクタ 297">
          <a:extLst>
            <a:ext uri="{FF2B5EF4-FFF2-40B4-BE49-F238E27FC236}">
              <a16:creationId xmlns:a16="http://schemas.microsoft.com/office/drawing/2014/main" id="{B827EFA1-6DC3-4BDC-81EF-565A41FFDC9E}"/>
            </a:ext>
          </a:extLst>
        </xdr:cNvPr>
        <xdr:cNvCxnSpPr>
          <a:stCxn id="135" idx="3"/>
          <a:endCxn id="292" idx="1"/>
        </xdr:cNvCxnSpPr>
      </xdr:nvCxnSpPr>
      <xdr:spPr>
        <a:xfrm>
          <a:off x="10378440" y="10161270"/>
          <a:ext cx="102108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320040</xdr:colOff>
      <xdr:row>73</xdr:row>
      <xdr:rowOff>102870</xdr:rowOff>
    </xdr:from>
    <xdr:to>
      <xdr:col>18</xdr:col>
      <xdr:colOff>0</xdr:colOff>
      <xdr:row>73</xdr:row>
      <xdr:rowOff>102870</xdr:rowOff>
    </xdr:to>
    <xdr:cxnSp macro="">
      <xdr:nvCxnSpPr>
        <xdr:cNvPr id="301" name="直線矢印コネクタ 300">
          <a:extLst>
            <a:ext uri="{FF2B5EF4-FFF2-40B4-BE49-F238E27FC236}">
              <a16:creationId xmlns:a16="http://schemas.microsoft.com/office/drawing/2014/main" id="{4A602517-70EF-4AA1-8A8F-FD13D6F3715E}"/>
            </a:ext>
          </a:extLst>
        </xdr:cNvPr>
        <xdr:cNvCxnSpPr>
          <a:stCxn id="136" idx="3"/>
          <a:endCxn id="293" idx="1"/>
        </xdr:cNvCxnSpPr>
      </xdr:nvCxnSpPr>
      <xdr:spPr>
        <a:xfrm>
          <a:off x="10378440" y="10618470"/>
          <a:ext cx="102108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320040</xdr:colOff>
      <xdr:row>75</xdr:row>
      <xdr:rowOff>102870</xdr:rowOff>
    </xdr:from>
    <xdr:to>
      <xdr:col>18</xdr:col>
      <xdr:colOff>0</xdr:colOff>
      <xdr:row>75</xdr:row>
      <xdr:rowOff>102870</xdr:rowOff>
    </xdr:to>
    <xdr:cxnSp macro="">
      <xdr:nvCxnSpPr>
        <xdr:cNvPr id="304" name="直線矢印コネクタ 303">
          <a:extLst>
            <a:ext uri="{FF2B5EF4-FFF2-40B4-BE49-F238E27FC236}">
              <a16:creationId xmlns:a16="http://schemas.microsoft.com/office/drawing/2014/main" id="{558AD5C9-9A1D-4BD2-A4A2-53EFB82FA7DC}"/>
            </a:ext>
          </a:extLst>
        </xdr:cNvPr>
        <xdr:cNvCxnSpPr>
          <a:stCxn id="137" idx="3"/>
          <a:endCxn id="294" idx="1"/>
        </xdr:cNvCxnSpPr>
      </xdr:nvCxnSpPr>
      <xdr:spPr>
        <a:xfrm>
          <a:off x="10378440" y="11075670"/>
          <a:ext cx="102108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289560</xdr:colOff>
      <xdr:row>26</xdr:row>
      <xdr:rowOff>45720</xdr:rowOff>
    </xdr:from>
    <xdr:to>
      <xdr:col>18</xdr:col>
      <xdr:colOff>68580</xdr:colOff>
      <xdr:row>27</xdr:row>
      <xdr:rowOff>152400</xdr:rowOff>
    </xdr:to>
    <xdr:sp macro="" textlink="">
      <xdr:nvSpPr>
        <xdr:cNvPr id="307" name="正方形/長方形 306">
          <a:extLst>
            <a:ext uri="{FF2B5EF4-FFF2-40B4-BE49-F238E27FC236}">
              <a16:creationId xmlns:a16="http://schemas.microsoft.com/office/drawing/2014/main" id="{FAE601CC-2C41-4DA5-8FD0-28A87533711B}"/>
            </a:ext>
          </a:extLst>
        </xdr:cNvPr>
        <xdr:cNvSpPr/>
      </xdr:nvSpPr>
      <xdr:spPr>
        <a:xfrm>
          <a:off x="11018520" y="164592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㊷</a:t>
          </a:r>
        </a:p>
      </xdr:txBody>
    </xdr:sp>
    <xdr:clientData/>
  </xdr:twoCellAnchor>
  <xdr:twoCellAnchor>
    <xdr:from>
      <xdr:col>17</xdr:col>
      <xdr:colOff>289560</xdr:colOff>
      <xdr:row>35</xdr:row>
      <xdr:rowOff>60960</xdr:rowOff>
    </xdr:from>
    <xdr:to>
      <xdr:col>18</xdr:col>
      <xdr:colOff>68580</xdr:colOff>
      <xdr:row>36</xdr:row>
      <xdr:rowOff>167640</xdr:rowOff>
    </xdr:to>
    <xdr:sp macro="" textlink="">
      <xdr:nvSpPr>
        <xdr:cNvPr id="308" name="正方形/長方形 307">
          <a:extLst>
            <a:ext uri="{FF2B5EF4-FFF2-40B4-BE49-F238E27FC236}">
              <a16:creationId xmlns:a16="http://schemas.microsoft.com/office/drawing/2014/main" id="{FE9493F9-2A22-0627-36A9-DE0AD725DFA4}"/>
            </a:ext>
          </a:extLst>
        </xdr:cNvPr>
        <xdr:cNvSpPr/>
      </xdr:nvSpPr>
      <xdr:spPr>
        <a:xfrm>
          <a:off x="11018520" y="257556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㊸</a:t>
          </a:r>
        </a:p>
      </xdr:txBody>
    </xdr:sp>
    <xdr:clientData/>
  </xdr:twoCellAnchor>
  <xdr:twoCellAnchor>
    <xdr:from>
      <xdr:col>17</xdr:col>
      <xdr:colOff>289560</xdr:colOff>
      <xdr:row>37</xdr:row>
      <xdr:rowOff>38100</xdr:rowOff>
    </xdr:from>
    <xdr:to>
      <xdr:col>18</xdr:col>
      <xdr:colOff>68580</xdr:colOff>
      <xdr:row>38</xdr:row>
      <xdr:rowOff>144780</xdr:rowOff>
    </xdr:to>
    <xdr:sp macro="" textlink="">
      <xdr:nvSpPr>
        <xdr:cNvPr id="309" name="正方形/長方形 308">
          <a:extLst>
            <a:ext uri="{FF2B5EF4-FFF2-40B4-BE49-F238E27FC236}">
              <a16:creationId xmlns:a16="http://schemas.microsoft.com/office/drawing/2014/main" id="{7F947BC9-8124-5D25-6369-BD7FEE31D703}"/>
            </a:ext>
          </a:extLst>
        </xdr:cNvPr>
        <xdr:cNvSpPr/>
      </xdr:nvSpPr>
      <xdr:spPr>
        <a:xfrm>
          <a:off x="11018520" y="300990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㊹</a:t>
          </a:r>
        </a:p>
      </xdr:txBody>
    </xdr:sp>
    <xdr:clientData/>
  </xdr:twoCellAnchor>
  <xdr:twoCellAnchor>
    <xdr:from>
      <xdr:col>17</xdr:col>
      <xdr:colOff>289560</xdr:colOff>
      <xdr:row>41</xdr:row>
      <xdr:rowOff>60960</xdr:rowOff>
    </xdr:from>
    <xdr:to>
      <xdr:col>18</xdr:col>
      <xdr:colOff>68580</xdr:colOff>
      <xdr:row>42</xdr:row>
      <xdr:rowOff>167640</xdr:rowOff>
    </xdr:to>
    <xdr:sp macro="" textlink="">
      <xdr:nvSpPr>
        <xdr:cNvPr id="310" name="正方形/長方形 309">
          <a:extLst>
            <a:ext uri="{FF2B5EF4-FFF2-40B4-BE49-F238E27FC236}">
              <a16:creationId xmlns:a16="http://schemas.microsoft.com/office/drawing/2014/main" id="{86E631D0-B20D-0193-6CD5-9D2AF787A57D}"/>
            </a:ext>
          </a:extLst>
        </xdr:cNvPr>
        <xdr:cNvSpPr/>
      </xdr:nvSpPr>
      <xdr:spPr>
        <a:xfrm>
          <a:off x="11018520" y="348996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㊺</a:t>
          </a:r>
        </a:p>
      </xdr:txBody>
    </xdr:sp>
    <xdr:clientData/>
  </xdr:twoCellAnchor>
  <xdr:twoCellAnchor>
    <xdr:from>
      <xdr:col>17</xdr:col>
      <xdr:colOff>289560</xdr:colOff>
      <xdr:row>46</xdr:row>
      <xdr:rowOff>76200</xdr:rowOff>
    </xdr:from>
    <xdr:to>
      <xdr:col>18</xdr:col>
      <xdr:colOff>68580</xdr:colOff>
      <xdr:row>47</xdr:row>
      <xdr:rowOff>182880</xdr:rowOff>
    </xdr:to>
    <xdr:sp macro="" textlink="">
      <xdr:nvSpPr>
        <xdr:cNvPr id="311" name="正方形/長方形 310">
          <a:extLst>
            <a:ext uri="{FF2B5EF4-FFF2-40B4-BE49-F238E27FC236}">
              <a16:creationId xmlns:a16="http://schemas.microsoft.com/office/drawing/2014/main" id="{9E075204-B152-9217-1E1C-0C59F9C7097B}"/>
            </a:ext>
          </a:extLst>
        </xdr:cNvPr>
        <xdr:cNvSpPr/>
      </xdr:nvSpPr>
      <xdr:spPr>
        <a:xfrm>
          <a:off x="11018520" y="441960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㊻</a:t>
          </a:r>
        </a:p>
      </xdr:txBody>
    </xdr:sp>
    <xdr:clientData/>
  </xdr:twoCellAnchor>
  <xdr:twoCellAnchor>
    <xdr:from>
      <xdr:col>17</xdr:col>
      <xdr:colOff>289560</xdr:colOff>
      <xdr:row>49</xdr:row>
      <xdr:rowOff>60960</xdr:rowOff>
    </xdr:from>
    <xdr:to>
      <xdr:col>18</xdr:col>
      <xdr:colOff>68580</xdr:colOff>
      <xdr:row>50</xdr:row>
      <xdr:rowOff>167640</xdr:rowOff>
    </xdr:to>
    <xdr:sp macro="" textlink="">
      <xdr:nvSpPr>
        <xdr:cNvPr id="312" name="正方形/長方形 311">
          <a:extLst>
            <a:ext uri="{FF2B5EF4-FFF2-40B4-BE49-F238E27FC236}">
              <a16:creationId xmlns:a16="http://schemas.microsoft.com/office/drawing/2014/main" id="{44769A01-387C-2276-62DC-E4DF30F5A657}"/>
            </a:ext>
          </a:extLst>
        </xdr:cNvPr>
        <xdr:cNvSpPr/>
      </xdr:nvSpPr>
      <xdr:spPr>
        <a:xfrm>
          <a:off x="11018520" y="509016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㊼</a:t>
          </a:r>
        </a:p>
      </xdr:txBody>
    </xdr:sp>
    <xdr:clientData/>
  </xdr:twoCellAnchor>
  <xdr:twoCellAnchor>
    <xdr:from>
      <xdr:col>17</xdr:col>
      <xdr:colOff>289560</xdr:colOff>
      <xdr:row>52</xdr:row>
      <xdr:rowOff>68580</xdr:rowOff>
    </xdr:from>
    <xdr:to>
      <xdr:col>18</xdr:col>
      <xdr:colOff>68580</xdr:colOff>
      <xdr:row>53</xdr:row>
      <xdr:rowOff>175260</xdr:rowOff>
    </xdr:to>
    <xdr:sp macro="" textlink="">
      <xdr:nvSpPr>
        <xdr:cNvPr id="313" name="正方形/長方形 312">
          <a:extLst>
            <a:ext uri="{FF2B5EF4-FFF2-40B4-BE49-F238E27FC236}">
              <a16:creationId xmlns:a16="http://schemas.microsoft.com/office/drawing/2014/main" id="{29819458-9D75-883C-D0BF-6224235C5C94}"/>
            </a:ext>
          </a:extLst>
        </xdr:cNvPr>
        <xdr:cNvSpPr/>
      </xdr:nvSpPr>
      <xdr:spPr>
        <a:xfrm>
          <a:off x="11018520" y="578358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㊽</a:t>
          </a:r>
        </a:p>
      </xdr:txBody>
    </xdr:sp>
    <xdr:clientData/>
  </xdr:twoCellAnchor>
  <xdr:twoCellAnchor>
    <xdr:from>
      <xdr:col>17</xdr:col>
      <xdr:colOff>289560</xdr:colOff>
      <xdr:row>55</xdr:row>
      <xdr:rowOff>91440</xdr:rowOff>
    </xdr:from>
    <xdr:to>
      <xdr:col>18</xdr:col>
      <xdr:colOff>68580</xdr:colOff>
      <xdr:row>56</xdr:row>
      <xdr:rowOff>198120</xdr:rowOff>
    </xdr:to>
    <xdr:sp macro="" textlink="">
      <xdr:nvSpPr>
        <xdr:cNvPr id="318" name="正方形/長方形 317">
          <a:extLst>
            <a:ext uri="{FF2B5EF4-FFF2-40B4-BE49-F238E27FC236}">
              <a16:creationId xmlns:a16="http://schemas.microsoft.com/office/drawing/2014/main" id="{DCBF7DA3-31D5-5E2D-C7E7-535F7CD63F01}"/>
            </a:ext>
          </a:extLst>
        </xdr:cNvPr>
        <xdr:cNvSpPr/>
      </xdr:nvSpPr>
      <xdr:spPr>
        <a:xfrm>
          <a:off x="11018520" y="649224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㊾</a:t>
          </a:r>
        </a:p>
      </xdr:txBody>
    </xdr:sp>
    <xdr:clientData/>
  </xdr:twoCellAnchor>
  <xdr:twoCellAnchor>
    <xdr:from>
      <xdr:col>17</xdr:col>
      <xdr:colOff>289560</xdr:colOff>
      <xdr:row>58</xdr:row>
      <xdr:rowOff>76200</xdr:rowOff>
    </xdr:from>
    <xdr:to>
      <xdr:col>18</xdr:col>
      <xdr:colOff>68580</xdr:colOff>
      <xdr:row>59</xdr:row>
      <xdr:rowOff>182880</xdr:rowOff>
    </xdr:to>
    <xdr:sp macro="" textlink="">
      <xdr:nvSpPr>
        <xdr:cNvPr id="319" name="正方形/長方形 318">
          <a:extLst>
            <a:ext uri="{FF2B5EF4-FFF2-40B4-BE49-F238E27FC236}">
              <a16:creationId xmlns:a16="http://schemas.microsoft.com/office/drawing/2014/main" id="{42FA73D6-2593-66BE-9F38-80DD5509645F}"/>
            </a:ext>
          </a:extLst>
        </xdr:cNvPr>
        <xdr:cNvSpPr/>
      </xdr:nvSpPr>
      <xdr:spPr>
        <a:xfrm>
          <a:off x="11018520" y="716280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㊿</a:t>
          </a:r>
        </a:p>
      </xdr:txBody>
    </xdr:sp>
    <xdr:clientData/>
  </xdr:twoCellAnchor>
  <xdr:twoCellAnchor>
    <xdr:from>
      <xdr:col>17</xdr:col>
      <xdr:colOff>289560</xdr:colOff>
      <xdr:row>61</xdr:row>
      <xdr:rowOff>83820</xdr:rowOff>
    </xdr:from>
    <xdr:to>
      <xdr:col>18</xdr:col>
      <xdr:colOff>68580</xdr:colOff>
      <xdr:row>62</xdr:row>
      <xdr:rowOff>190500</xdr:rowOff>
    </xdr:to>
    <xdr:sp macro="" textlink="">
      <xdr:nvSpPr>
        <xdr:cNvPr id="320" name="正方形/長方形 319">
          <a:extLst>
            <a:ext uri="{FF2B5EF4-FFF2-40B4-BE49-F238E27FC236}">
              <a16:creationId xmlns:a16="http://schemas.microsoft.com/office/drawing/2014/main" id="{41C6529D-5AC6-423E-AFBA-E71BF0D70FB7}"/>
            </a:ext>
          </a:extLst>
        </xdr:cNvPr>
        <xdr:cNvSpPr/>
      </xdr:nvSpPr>
      <xdr:spPr>
        <a:xfrm>
          <a:off x="11018520" y="785622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a:solidFill>
                <a:sysClr val="windowText" lastClr="000000"/>
              </a:solidFill>
            </a:rPr>
            <a:t>51</a:t>
          </a:r>
        </a:p>
      </xdr:txBody>
    </xdr:sp>
    <xdr:clientData/>
  </xdr:twoCellAnchor>
  <xdr:twoCellAnchor>
    <xdr:from>
      <xdr:col>17</xdr:col>
      <xdr:colOff>289560</xdr:colOff>
      <xdr:row>64</xdr:row>
      <xdr:rowOff>76200</xdr:rowOff>
    </xdr:from>
    <xdr:to>
      <xdr:col>18</xdr:col>
      <xdr:colOff>68580</xdr:colOff>
      <xdr:row>65</xdr:row>
      <xdr:rowOff>182880</xdr:rowOff>
    </xdr:to>
    <xdr:sp macro="" textlink="">
      <xdr:nvSpPr>
        <xdr:cNvPr id="321" name="正方形/長方形 320">
          <a:extLst>
            <a:ext uri="{FF2B5EF4-FFF2-40B4-BE49-F238E27FC236}">
              <a16:creationId xmlns:a16="http://schemas.microsoft.com/office/drawing/2014/main" id="{ABCAB1BE-2593-2C7B-8AD8-F1B12615962B}"/>
            </a:ext>
          </a:extLst>
        </xdr:cNvPr>
        <xdr:cNvSpPr/>
      </xdr:nvSpPr>
      <xdr:spPr>
        <a:xfrm>
          <a:off x="11018520" y="8534400"/>
          <a:ext cx="4495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㊺</a:t>
          </a:r>
        </a:p>
      </xdr:txBody>
    </xdr:sp>
    <xdr:clientData/>
  </xdr:twoCellAnchor>
  <xdr:twoCellAnchor>
    <xdr:from>
      <xdr:col>4</xdr:col>
      <xdr:colOff>0</xdr:colOff>
      <xdr:row>27</xdr:row>
      <xdr:rowOff>102870</xdr:rowOff>
    </xdr:from>
    <xdr:to>
      <xdr:col>6</xdr:col>
      <xdr:colOff>0</xdr:colOff>
      <xdr:row>28</xdr:row>
      <xdr:rowOff>102870</xdr:rowOff>
    </xdr:to>
    <xdr:cxnSp macro="">
      <xdr:nvCxnSpPr>
        <xdr:cNvPr id="323" name="コネクタ: カギ線 322">
          <a:extLst>
            <a:ext uri="{FF2B5EF4-FFF2-40B4-BE49-F238E27FC236}">
              <a16:creationId xmlns:a16="http://schemas.microsoft.com/office/drawing/2014/main" id="{D6526860-810B-F4C7-8FF6-424F35100292}"/>
            </a:ext>
          </a:extLst>
        </xdr:cNvPr>
        <xdr:cNvCxnSpPr>
          <a:cxnSpLocks/>
          <a:stCxn id="4" idx="3"/>
          <a:endCxn id="348" idx="1"/>
        </xdr:cNvCxnSpPr>
      </xdr:nvCxnSpPr>
      <xdr:spPr>
        <a:xfrm flipV="1">
          <a:off x="2011680" y="1931670"/>
          <a:ext cx="1341120" cy="228600"/>
        </a:xfrm>
        <a:prstGeom prst="bentConnector3">
          <a:avLst/>
        </a:prstGeom>
        <a:ln>
          <a:solidFill>
            <a:sysClr val="windowText" lastClr="000000"/>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0</xdr:colOff>
      <xdr:row>50</xdr:row>
      <xdr:rowOff>0</xdr:rowOff>
    </xdr:from>
    <xdr:to>
      <xdr:col>4</xdr:col>
      <xdr:colOff>0</xdr:colOff>
      <xdr:row>50</xdr:row>
      <xdr:rowOff>205740</xdr:rowOff>
    </xdr:to>
    <xdr:sp macro="" textlink="">
      <xdr:nvSpPr>
        <xdr:cNvPr id="336" name="正方形/長方形 335">
          <a:extLst>
            <a:ext uri="{FF2B5EF4-FFF2-40B4-BE49-F238E27FC236}">
              <a16:creationId xmlns:a16="http://schemas.microsoft.com/office/drawing/2014/main" id="{01367F05-9FEF-471F-BC61-29C90B7ADD08}"/>
            </a:ext>
          </a:extLst>
        </xdr:cNvPr>
        <xdr:cNvSpPr/>
      </xdr:nvSpPr>
      <xdr:spPr>
        <a:xfrm>
          <a:off x="670560" y="5257800"/>
          <a:ext cx="1341120" cy="205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ObservationResult</a:t>
          </a:r>
          <a:endParaRPr kumimoji="1" lang="ja-JP" altLang="en-US" sz="1000"/>
        </a:p>
      </xdr:txBody>
    </xdr:sp>
    <xdr:clientData/>
  </xdr:twoCellAnchor>
  <xdr:twoCellAnchor>
    <xdr:from>
      <xdr:col>2</xdr:col>
      <xdr:colOff>0</xdr:colOff>
      <xdr:row>57</xdr:row>
      <xdr:rowOff>0</xdr:rowOff>
    </xdr:from>
    <xdr:to>
      <xdr:col>4</xdr:col>
      <xdr:colOff>0</xdr:colOff>
      <xdr:row>57</xdr:row>
      <xdr:rowOff>205740</xdr:rowOff>
    </xdr:to>
    <xdr:sp macro="" textlink="">
      <xdr:nvSpPr>
        <xdr:cNvPr id="337" name="正方形/長方形 336">
          <a:extLst>
            <a:ext uri="{FF2B5EF4-FFF2-40B4-BE49-F238E27FC236}">
              <a16:creationId xmlns:a16="http://schemas.microsoft.com/office/drawing/2014/main" id="{8E168208-6B4F-433D-8FC0-ED2C98B38985}"/>
            </a:ext>
          </a:extLst>
        </xdr:cNvPr>
        <xdr:cNvSpPr/>
      </xdr:nvSpPr>
      <xdr:spPr>
        <a:xfrm>
          <a:off x="670560" y="6858000"/>
          <a:ext cx="1341120" cy="205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InjectionData</a:t>
          </a:r>
          <a:endParaRPr kumimoji="1" lang="ja-JP" altLang="en-US" sz="1000"/>
        </a:p>
      </xdr:txBody>
    </xdr:sp>
    <xdr:clientData/>
  </xdr:twoCellAnchor>
  <xdr:twoCellAnchor>
    <xdr:from>
      <xdr:col>2</xdr:col>
      <xdr:colOff>0</xdr:colOff>
      <xdr:row>53</xdr:row>
      <xdr:rowOff>0</xdr:rowOff>
    </xdr:from>
    <xdr:to>
      <xdr:col>4</xdr:col>
      <xdr:colOff>0</xdr:colOff>
      <xdr:row>53</xdr:row>
      <xdr:rowOff>205740</xdr:rowOff>
    </xdr:to>
    <xdr:sp macro="" textlink="">
      <xdr:nvSpPr>
        <xdr:cNvPr id="338" name="正方形/長方形 337">
          <a:extLst>
            <a:ext uri="{FF2B5EF4-FFF2-40B4-BE49-F238E27FC236}">
              <a16:creationId xmlns:a16="http://schemas.microsoft.com/office/drawing/2014/main" id="{0E1CD2A7-FBF7-4A14-A60C-AC55B6A8E110}"/>
            </a:ext>
          </a:extLst>
        </xdr:cNvPr>
        <xdr:cNvSpPr/>
      </xdr:nvSpPr>
      <xdr:spPr>
        <a:xfrm>
          <a:off x="670560" y="5943600"/>
          <a:ext cx="1341120" cy="205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PrescriptionData</a:t>
          </a:r>
          <a:endParaRPr kumimoji="1" lang="ja-JP" altLang="en-US" sz="1000"/>
        </a:p>
      </xdr:txBody>
    </xdr:sp>
    <xdr:clientData/>
  </xdr:twoCellAnchor>
  <xdr:twoCellAnchor>
    <xdr:from>
      <xdr:col>6</xdr:col>
      <xdr:colOff>0</xdr:colOff>
      <xdr:row>37</xdr:row>
      <xdr:rowOff>0</xdr:rowOff>
    </xdr:from>
    <xdr:to>
      <xdr:col>8</xdr:col>
      <xdr:colOff>320040</xdr:colOff>
      <xdr:row>37</xdr:row>
      <xdr:rowOff>205740</xdr:rowOff>
    </xdr:to>
    <xdr:sp macro="" textlink="">
      <xdr:nvSpPr>
        <xdr:cNvPr id="342" name="正方形/長方形 341">
          <a:extLst>
            <a:ext uri="{FF2B5EF4-FFF2-40B4-BE49-F238E27FC236}">
              <a16:creationId xmlns:a16="http://schemas.microsoft.com/office/drawing/2014/main" id="{DAF3C014-7D45-4194-BB8F-3A151168A868}"/>
            </a:ext>
          </a:extLst>
        </xdr:cNvPr>
        <xdr:cNvSpPr/>
      </xdr:nvSpPr>
      <xdr:spPr>
        <a:xfrm>
          <a:off x="3352800" y="2971800"/>
          <a:ext cx="1661160" cy="20574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person_f</a:t>
          </a:r>
          <a:endParaRPr kumimoji="1" lang="ja-JP" altLang="en-US" sz="1000"/>
        </a:p>
      </xdr:txBody>
    </xdr:sp>
    <xdr:clientData/>
  </xdr:twoCellAnchor>
  <xdr:twoCellAnchor>
    <xdr:from>
      <xdr:col>6</xdr:col>
      <xdr:colOff>0</xdr:colOff>
      <xdr:row>27</xdr:row>
      <xdr:rowOff>0</xdr:rowOff>
    </xdr:from>
    <xdr:to>
      <xdr:col>8</xdr:col>
      <xdr:colOff>320040</xdr:colOff>
      <xdr:row>27</xdr:row>
      <xdr:rowOff>205740</xdr:rowOff>
    </xdr:to>
    <xdr:sp macro="" textlink="">
      <xdr:nvSpPr>
        <xdr:cNvPr id="348" name="正方形/長方形 347">
          <a:extLst>
            <a:ext uri="{FF2B5EF4-FFF2-40B4-BE49-F238E27FC236}">
              <a16:creationId xmlns:a16="http://schemas.microsoft.com/office/drawing/2014/main" id="{64AD5ABD-3A3A-4ED8-A2DB-878CE1F9B822}"/>
            </a:ext>
          </a:extLst>
        </xdr:cNvPr>
        <xdr:cNvSpPr/>
      </xdr:nvSpPr>
      <xdr:spPr>
        <a:xfrm>
          <a:off x="3352800" y="1828800"/>
          <a:ext cx="1661160" cy="205740"/>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solidFill>
                <a:srgbClr val="0000CC"/>
              </a:solidFill>
            </a:rPr>
            <a:t>person_s</a:t>
          </a:r>
          <a:endParaRPr kumimoji="1" lang="ja-JP" altLang="en-US" sz="1000">
            <a:solidFill>
              <a:srgbClr val="0000CC"/>
            </a:solidFill>
          </a:endParaRPr>
        </a:p>
      </xdr:txBody>
    </xdr:sp>
    <xdr:clientData/>
  </xdr:twoCellAnchor>
  <xdr:twoCellAnchor>
    <xdr:from>
      <xdr:col>6</xdr:col>
      <xdr:colOff>0</xdr:colOff>
      <xdr:row>28</xdr:row>
      <xdr:rowOff>0</xdr:rowOff>
    </xdr:from>
    <xdr:to>
      <xdr:col>8</xdr:col>
      <xdr:colOff>320040</xdr:colOff>
      <xdr:row>28</xdr:row>
      <xdr:rowOff>205740</xdr:rowOff>
    </xdr:to>
    <xdr:sp macro="" textlink="">
      <xdr:nvSpPr>
        <xdr:cNvPr id="352" name="正方形/長方形 351">
          <a:extLst>
            <a:ext uri="{FF2B5EF4-FFF2-40B4-BE49-F238E27FC236}">
              <a16:creationId xmlns:a16="http://schemas.microsoft.com/office/drawing/2014/main" id="{B5B13C0D-7BD1-4638-9A50-D9EF1D2D8E42}"/>
            </a:ext>
          </a:extLst>
        </xdr:cNvPr>
        <xdr:cNvSpPr/>
      </xdr:nvSpPr>
      <xdr:spPr>
        <a:xfrm>
          <a:off x="3352800" y="2057400"/>
          <a:ext cx="1661160" cy="20574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locatoin_f</a:t>
          </a:r>
          <a:endParaRPr kumimoji="1" lang="ja-JP" altLang="en-US" sz="1000"/>
        </a:p>
      </xdr:txBody>
    </xdr:sp>
    <xdr:clientData/>
  </xdr:twoCellAnchor>
  <xdr:twoCellAnchor>
    <xdr:from>
      <xdr:col>6</xdr:col>
      <xdr:colOff>0</xdr:colOff>
      <xdr:row>31</xdr:row>
      <xdr:rowOff>0</xdr:rowOff>
    </xdr:from>
    <xdr:to>
      <xdr:col>8</xdr:col>
      <xdr:colOff>320040</xdr:colOff>
      <xdr:row>31</xdr:row>
      <xdr:rowOff>205740</xdr:rowOff>
    </xdr:to>
    <xdr:sp macro="" textlink="">
      <xdr:nvSpPr>
        <xdr:cNvPr id="356" name="正方形/長方形 355">
          <a:extLst>
            <a:ext uri="{FF2B5EF4-FFF2-40B4-BE49-F238E27FC236}">
              <a16:creationId xmlns:a16="http://schemas.microsoft.com/office/drawing/2014/main" id="{57FBF87A-A0DB-4678-BC5B-ACBF3047F19D}"/>
            </a:ext>
          </a:extLst>
        </xdr:cNvPr>
        <xdr:cNvSpPr/>
      </xdr:nvSpPr>
      <xdr:spPr>
        <a:xfrm>
          <a:off x="3352800" y="2514600"/>
          <a:ext cx="1661160" cy="20574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source_to_concept_map_f</a:t>
          </a:r>
          <a:endParaRPr kumimoji="1" lang="ja-JP" altLang="en-US" sz="1000"/>
        </a:p>
      </xdr:txBody>
    </xdr:sp>
    <xdr:clientData/>
  </xdr:twoCellAnchor>
  <xdr:twoCellAnchor>
    <xdr:from>
      <xdr:col>6</xdr:col>
      <xdr:colOff>0</xdr:colOff>
      <xdr:row>32</xdr:row>
      <xdr:rowOff>0</xdr:rowOff>
    </xdr:from>
    <xdr:to>
      <xdr:col>8</xdr:col>
      <xdr:colOff>320040</xdr:colOff>
      <xdr:row>32</xdr:row>
      <xdr:rowOff>205740</xdr:rowOff>
    </xdr:to>
    <xdr:sp macro="" textlink="">
      <xdr:nvSpPr>
        <xdr:cNvPr id="357" name="正方形/長方形 356">
          <a:extLst>
            <a:ext uri="{FF2B5EF4-FFF2-40B4-BE49-F238E27FC236}">
              <a16:creationId xmlns:a16="http://schemas.microsoft.com/office/drawing/2014/main" id="{53AB20B4-C0B8-474F-AA7D-DE8B594F3EAF}"/>
            </a:ext>
          </a:extLst>
        </xdr:cNvPr>
        <xdr:cNvSpPr/>
      </xdr:nvSpPr>
      <xdr:spPr>
        <a:xfrm>
          <a:off x="3352800" y="2743200"/>
          <a:ext cx="1661160" cy="20574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concept_f</a:t>
          </a:r>
          <a:endParaRPr kumimoji="1" lang="ja-JP" altLang="en-US" sz="1000"/>
        </a:p>
      </xdr:txBody>
    </xdr:sp>
    <xdr:clientData/>
  </xdr:twoCellAnchor>
  <xdr:twoCellAnchor>
    <xdr:from>
      <xdr:col>6</xdr:col>
      <xdr:colOff>0</xdr:colOff>
      <xdr:row>29</xdr:row>
      <xdr:rowOff>0</xdr:rowOff>
    </xdr:from>
    <xdr:to>
      <xdr:col>8</xdr:col>
      <xdr:colOff>320040</xdr:colOff>
      <xdr:row>29</xdr:row>
      <xdr:rowOff>205740</xdr:rowOff>
    </xdr:to>
    <xdr:sp macro="" textlink="">
      <xdr:nvSpPr>
        <xdr:cNvPr id="358" name="正方形/長方形 357">
          <a:extLst>
            <a:ext uri="{FF2B5EF4-FFF2-40B4-BE49-F238E27FC236}">
              <a16:creationId xmlns:a16="http://schemas.microsoft.com/office/drawing/2014/main" id="{F7C68E4E-6678-4D04-BC75-0961EC294AE3}"/>
            </a:ext>
          </a:extLst>
        </xdr:cNvPr>
        <xdr:cNvSpPr/>
      </xdr:nvSpPr>
      <xdr:spPr>
        <a:xfrm>
          <a:off x="3352800" y="2286000"/>
          <a:ext cx="1661160" cy="20574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care_site_f</a:t>
          </a:r>
          <a:endParaRPr kumimoji="1" lang="ja-JP" altLang="en-US" sz="1000"/>
        </a:p>
      </xdr:txBody>
    </xdr:sp>
    <xdr:clientData/>
  </xdr:twoCellAnchor>
  <xdr:twoCellAnchor>
    <xdr:from>
      <xdr:col>6</xdr:col>
      <xdr:colOff>0</xdr:colOff>
      <xdr:row>30</xdr:row>
      <xdr:rowOff>0</xdr:rowOff>
    </xdr:from>
    <xdr:to>
      <xdr:col>8</xdr:col>
      <xdr:colOff>320040</xdr:colOff>
      <xdr:row>30</xdr:row>
      <xdr:rowOff>205740</xdr:rowOff>
    </xdr:to>
    <xdr:sp macro="" textlink="">
      <xdr:nvSpPr>
        <xdr:cNvPr id="359" name="正方形/長方形 358">
          <a:extLst>
            <a:ext uri="{FF2B5EF4-FFF2-40B4-BE49-F238E27FC236}">
              <a16:creationId xmlns:a16="http://schemas.microsoft.com/office/drawing/2014/main" id="{07D6DA15-D077-4425-8F28-D53B0E2E39DE}"/>
            </a:ext>
          </a:extLst>
        </xdr:cNvPr>
        <xdr:cNvSpPr/>
      </xdr:nvSpPr>
      <xdr:spPr>
        <a:xfrm>
          <a:off x="3352800" y="2514600"/>
          <a:ext cx="1661160" cy="20574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provider_f</a:t>
          </a:r>
          <a:endParaRPr kumimoji="1" lang="ja-JP" altLang="en-US" sz="1000"/>
        </a:p>
      </xdr:txBody>
    </xdr:sp>
    <xdr:clientData/>
  </xdr:twoCellAnchor>
  <xdr:twoCellAnchor>
    <xdr:from>
      <xdr:col>6</xdr:col>
      <xdr:colOff>0</xdr:colOff>
      <xdr:row>40</xdr:row>
      <xdr:rowOff>0</xdr:rowOff>
    </xdr:from>
    <xdr:to>
      <xdr:col>8</xdr:col>
      <xdr:colOff>320040</xdr:colOff>
      <xdr:row>40</xdr:row>
      <xdr:rowOff>205740</xdr:rowOff>
    </xdr:to>
    <xdr:sp macro="" textlink="">
      <xdr:nvSpPr>
        <xdr:cNvPr id="360" name="正方形/長方形 359">
          <a:extLst>
            <a:ext uri="{FF2B5EF4-FFF2-40B4-BE49-F238E27FC236}">
              <a16:creationId xmlns:a16="http://schemas.microsoft.com/office/drawing/2014/main" id="{D1680B62-2BFA-4194-A673-E6B6340E09B5}"/>
            </a:ext>
          </a:extLst>
        </xdr:cNvPr>
        <xdr:cNvSpPr/>
      </xdr:nvSpPr>
      <xdr:spPr>
        <a:xfrm>
          <a:off x="3352800" y="4343400"/>
          <a:ext cx="1661160" cy="20574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source_to_concept_map_f</a:t>
          </a:r>
          <a:endParaRPr kumimoji="1" lang="ja-JP" altLang="en-US" sz="1000"/>
        </a:p>
      </xdr:txBody>
    </xdr:sp>
    <xdr:clientData/>
  </xdr:twoCellAnchor>
  <xdr:twoCellAnchor>
    <xdr:from>
      <xdr:col>6</xdr:col>
      <xdr:colOff>0</xdr:colOff>
      <xdr:row>41</xdr:row>
      <xdr:rowOff>0</xdr:rowOff>
    </xdr:from>
    <xdr:to>
      <xdr:col>8</xdr:col>
      <xdr:colOff>320040</xdr:colOff>
      <xdr:row>41</xdr:row>
      <xdr:rowOff>205740</xdr:rowOff>
    </xdr:to>
    <xdr:sp macro="" textlink="">
      <xdr:nvSpPr>
        <xdr:cNvPr id="361" name="正方形/長方形 360">
          <a:extLst>
            <a:ext uri="{FF2B5EF4-FFF2-40B4-BE49-F238E27FC236}">
              <a16:creationId xmlns:a16="http://schemas.microsoft.com/office/drawing/2014/main" id="{46E09A54-4EC7-4E9F-9A5C-FED3FEE29B6A}"/>
            </a:ext>
          </a:extLst>
        </xdr:cNvPr>
        <xdr:cNvSpPr/>
      </xdr:nvSpPr>
      <xdr:spPr>
        <a:xfrm>
          <a:off x="3352800" y="4572000"/>
          <a:ext cx="1661160" cy="20574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concept_f</a:t>
          </a:r>
          <a:endParaRPr kumimoji="1" lang="ja-JP" altLang="en-US" sz="1000"/>
        </a:p>
      </xdr:txBody>
    </xdr:sp>
    <xdr:clientData/>
  </xdr:twoCellAnchor>
  <xdr:twoCellAnchor>
    <xdr:from>
      <xdr:col>6</xdr:col>
      <xdr:colOff>0</xdr:colOff>
      <xdr:row>38</xdr:row>
      <xdr:rowOff>0</xdr:rowOff>
    </xdr:from>
    <xdr:to>
      <xdr:col>8</xdr:col>
      <xdr:colOff>320040</xdr:colOff>
      <xdr:row>38</xdr:row>
      <xdr:rowOff>205740</xdr:rowOff>
    </xdr:to>
    <xdr:sp macro="" textlink="">
      <xdr:nvSpPr>
        <xdr:cNvPr id="362" name="正方形/長方形 361">
          <a:extLst>
            <a:ext uri="{FF2B5EF4-FFF2-40B4-BE49-F238E27FC236}">
              <a16:creationId xmlns:a16="http://schemas.microsoft.com/office/drawing/2014/main" id="{2059EB88-527D-473C-BEA4-3BE70CF61A9B}"/>
            </a:ext>
          </a:extLst>
        </xdr:cNvPr>
        <xdr:cNvSpPr/>
      </xdr:nvSpPr>
      <xdr:spPr>
        <a:xfrm>
          <a:off x="3352800" y="3886200"/>
          <a:ext cx="1661160" cy="20574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care_site_f</a:t>
          </a:r>
          <a:endParaRPr kumimoji="1" lang="ja-JP" altLang="en-US" sz="1000"/>
        </a:p>
      </xdr:txBody>
    </xdr:sp>
    <xdr:clientData/>
  </xdr:twoCellAnchor>
  <xdr:twoCellAnchor>
    <xdr:from>
      <xdr:col>6</xdr:col>
      <xdr:colOff>0</xdr:colOff>
      <xdr:row>39</xdr:row>
      <xdr:rowOff>0</xdr:rowOff>
    </xdr:from>
    <xdr:to>
      <xdr:col>8</xdr:col>
      <xdr:colOff>320040</xdr:colOff>
      <xdr:row>39</xdr:row>
      <xdr:rowOff>205740</xdr:rowOff>
    </xdr:to>
    <xdr:sp macro="" textlink="">
      <xdr:nvSpPr>
        <xdr:cNvPr id="363" name="正方形/長方形 362">
          <a:extLst>
            <a:ext uri="{FF2B5EF4-FFF2-40B4-BE49-F238E27FC236}">
              <a16:creationId xmlns:a16="http://schemas.microsoft.com/office/drawing/2014/main" id="{6C28E6BC-CE83-4300-8E45-FAE24802A938}"/>
            </a:ext>
          </a:extLst>
        </xdr:cNvPr>
        <xdr:cNvSpPr/>
      </xdr:nvSpPr>
      <xdr:spPr>
        <a:xfrm>
          <a:off x="3352800" y="4114800"/>
          <a:ext cx="1661160" cy="20574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provider_f</a:t>
          </a:r>
          <a:endParaRPr kumimoji="1" lang="ja-JP" altLang="en-US" sz="1000"/>
        </a:p>
      </xdr:txBody>
    </xdr:sp>
    <xdr:clientData/>
  </xdr:twoCellAnchor>
  <xdr:twoCellAnchor>
    <xdr:from>
      <xdr:col>6</xdr:col>
      <xdr:colOff>0</xdr:colOff>
      <xdr:row>66</xdr:row>
      <xdr:rowOff>0</xdr:rowOff>
    </xdr:from>
    <xdr:to>
      <xdr:col>8</xdr:col>
      <xdr:colOff>320040</xdr:colOff>
      <xdr:row>66</xdr:row>
      <xdr:rowOff>205740</xdr:rowOff>
    </xdr:to>
    <xdr:sp macro="" textlink="">
      <xdr:nvSpPr>
        <xdr:cNvPr id="364" name="正方形/長方形 363">
          <a:extLst>
            <a:ext uri="{FF2B5EF4-FFF2-40B4-BE49-F238E27FC236}">
              <a16:creationId xmlns:a16="http://schemas.microsoft.com/office/drawing/2014/main" id="{D98D67CF-3858-4DCB-9B6C-BFAA3C7F4689}"/>
            </a:ext>
          </a:extLst>
        </xdr:cNvPr>
        <xdr:cNvSpPr/>
      </xdr:nvSpPr>
      <xdr:spPr>
        <a:xfrm>
          <a:off x="3352800" y="10058400"/>
          <a:ext cx="1661160" cy="20574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person_f</a:t>
          </a:r>
          <a:endParaRPr kumimoji="1" lang="ja-JP" altLang="en-US" sz="1000"/>
        </a:p>
      </xdr:txBody>
    </xdr:sp>
    <xdr:clientData/>
  </xdr:twoCellAnchor>
  <xdr:twoCellAnchor>
    <xdr:from>
      <xdr:col>6</xdr:col>
      <xdr:colOff>0</xdr:colOff>
      <xdr:row>69</xdr:row>
      <xdr:rowOff>0</xdr:rowOff>
    </xdr:from>
    <xdr:to>
      <xdr:col>8</xdr:col>
      <xdr:colOff>320040</xdr:colOff>
      <xdr:row>69</xdr:row>
      <xdr:rowOff>205740</xdr:rowOff>
    </xdr:to>
    <xdr:sp macro="" textlink="">
      <xdr:nvSpPr>
        <xdr:cNvPr id="365" name="正方形/長方形 364">
          <a:extLst>
            <a:ext uri="{FF2B5EF4-FFF2-40B4-BE49-F238E27FC236}">
              <a16:creationId xmlns:a16="http://schemas.microsoft.com/office/drawing/2014/main" id="{7E6DDA17-B0D8-4037-8B98-0993C89D58CB}"/>
            </a:ext>
          </a:extLst>
        </xdr:cNvPr>
        <xdr:cNvSpPr/>
      </xdr:nvSpPr>
      <xdr:spPr>
        <a:xfrm>
          <a:off x="3352800" y="10744200"/>
          <a:ext cx="1661160" cy="20574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source_to_concept_map_f</a:t>
          </a:r>
          <a:endParaRPr kumimoji="1" lang="ja-JP" altLang="en-US" sz="1000"/>
        </a:p>
      </xdr:txBody>
    </xdr:sp>
    <xdr:clientData/>
  </xdr:twoCellAnchor>
  <xdr:twoCellAnchor>
    <xdr:from>
      <xdr:col>6</xdr:col>
      <xdr:colOff>0</xdr:colOff>
      <xdr:row>70</xdr:row>
      <xdr:rowOff>0</xdr:rowOff>
    </xdr:from>
    <xdr:to>
      <xdr:col>8</xdr:col>
      <xdr:colOff>320040</xdr:colOff>
      <xdr:row>70</xdr:row>
      <xdr:rowOff>205740</xdr:rowOff>
    </xdr:to>
    <xdr:sp macro="" textlink="">
      <xdr:nvSpPr>
        <xdr:cNvPr id="366" name="正方形/長方形 365">
          <a:extLst>
            <a:ext uri="{FF2B5EF4-FFF2-40B4-BE49-F238E27FC236}">
              <a16:creationId xmlns:a16="http://schemas.microsoft.com/office/drawing/2014/main" id="{98FF706A-1E44-4F9B-B72F-499529ED06D6}"/>
            </a:ext>
          </a:extLst>
        </xdr:cNvPr>
        <xdr:cNvSpPr/>
      </xdr:nvSpPr>
      <xdr:spPr>
        <a:xfrm>
          <a:off x="3352800" y="10972800"/>
          <a:ext cx="1661160" cy="20574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concept_f</a:t>
          </a:r>
          <a:endParaRPr kumimoji="1" lang="ja-JP" altLang="en-US" sz="1000"/>
        </a:p>
      </xdr:txBody>
    </xdr:sp>
    <xdr:clientData/>
  </xdr:twoCellAnchor>
  <xdr:twoCellAnchor>
    <xdr:from>
      <xdr:col>6</xdr:col>
      <xdr:colOff>0</xdr:colOff>
      <xdr:row>67</xdr:row>
      <xdr:rowOff>0</xdr:rowOff>
    </xdr:from>
    <xdr:to>
      <xdr:col>8</xdr:col>
      <xdr:colOff>320040</xdr:colOff>
      <xdr:row>67</xdr:row>
      <xdr:rowOff>205740</xdr:rowOff>
    </xdr:to>
    <xdr:sp macro="" textlink="">
      <xdr:nvSpPr>
        <xdr:cNvPr id="367" name="正方形/長方形 366">
          <a:extLst>
            <a:ext uri="{FF2B5EF4-FFF2-40B4-BE49-F238E27FC236}">
              <a16:creationId xmlns:a16="http://schemas.microsoft.com/office/drawing/2014/main" id="{A8B21CF4-0B0D-46B5-814B-F850B97F19C6}"/>
            </a:ext>
          </a:extLst>
        </xdr:cNvPr>
        <xdr:cNvSpPr/>
      </xdr:nvSpPr>
      <xdr:spPr>
        <a:xfrm>
          <a:off x="3352800" y="10287000"/>
          <a:ext cx="1661160" cy="20574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care_site_f</a:t>
          </a:r>
          <a:endParaRPr kumimoji="1" lang="ja-JP" altLang="en-US" sz="1000"/>
        </a:p>
      </xdr:txBody>
    </xdr:sp>
    <xdr:clientData/>
  </xdr:twoCellAnchor>
  <xdr:twoCellAnchor>
    <xdr:from>
      <xdr:col>6</xdr:col>
      <xdr:colOff>0</xdr:colOff>
      <xdr:row>68</xdr:row>
      <xdr:rowOff>0</xdr:rowOff>
    </xdr:from>
    <xdr:to>
      <xdr:col>8</xdr:col>
      <xdr:colOff>320040</xdr:colOff>
      <xdr:row>68</xdr:row>
      <xdr:rowOff>205740</xdr:rowOff>
    </xdr:to>
    <xdr:sp macro="" textlink="">
      <xdr:nvSpPr>
        <xdr:cNvPr id="368" name="正方形/長方形 367">
          <a:extLst>
            <a:ext uri="{FF2B5EF4-FFF2-40B4-BE49-F238E27FC236}">
              <a16:creationId xmlns:a16="http://schemas.microsoft.com/office/drawing/2014/main" id="{D62607F6-B0AD-40FC-B955-26C43AA15AEE}"/>
            </a:ext>
          </a:extLst>
        </xdr:cNvPr>
        <xdr:cNvSpPr/>
      </xdr:nvSpPr>
      <xdr:spPr>
        <a:xfrm>
          <a:off x="3352800" y="10515600"/>
          <a:ext cx="1661160" cy="20574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provider_f</a:t>
          </a:r>
          <a:endParaRPr kumimoji="1" lang="ja-JP" altLang="en-US" sz="1000"/>
        </a:p>
      </xdr:txBody>
    </xdr:sp>
    <xdr:clientData/>
  </xdr:twoCellAnchor>
  <xdr:twoCellAnchor>
    <xdr:from>
      <xdr:col>2</xdr:col>
      <xdr:colOff>0</xdr:colOff>
      <xdr:row>6</xdr:row>
      <xdr:rowOff>0</xdr:rowOff>
    </xdr:from>
    <xdr:to>
      <xdr:col>4</xdr:col>
      <xdr:colOff>0</xdr:colOff>
      <xdr:row>6</xdr:row>
      <xdr:rowOff>205740</xdr:rowOff>
    </xdr:to>
    <xdr:sp macro="" textlink="">
      <xdr:nvSpPr>
        <xdr:cNvPr id="369" name="正方形/長方形 368">
          <a:extLst>
            <a:ext uri="{FF2B5EF4-FFF2-40B4-BE49-F238E27FC236}">
              <a16:creationId xmlns:a16="http://schemas.microsoft.com/office/drawing/2014/main" id="{DBC9BAB2-0D32-4BEB-B974-57F1DA741A01}"/>
            </a:ext>
          </a:extLst>
        </xdr:cNvPr>
        <xdr:cNvSpPr/>
      </xdr:nvSpPr>
      <xdr:spPr>
        <a:xfrm>
          <a:off x="670560" y="457200"/>
          <a:ext cx="1341120" cy="205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Source</a:t>
          </a:r>
          <a:r>
            <a:rPr kumimoji="1" lang="en-US" altLang="ja-JP" sz="1000" baseline="0"/>
            <a:t> Data</a:t>
          </a:r>
          <a:endParaRPr kumimoji="1" lang="ja-JP" altLang="en-US" sz="1000"/>
        </a:p>
      </xdr:txBody>
    </xdr:sp>
    <xdr:clientData/>
  </xdr:twoCellAnchor>
  <xdr:twoCellAnchor>
    <xdr:from>
      <xdr:col>6</xdr:col>
      <xdr:colOff>0</xdr:colOff>
      <xdr:row>6</xdr:row>
      <xdr:rowOff>0</xdr:rowOff>
    </xdr:from>
    <xdr:to>
      <xdr:col>8</xdr:col>
      <xdr:colOff>320040</xdr:colOff>
      <xdr:row>6</xdr:row>
      <xdr:rowOff>205740</xdr:rowOff>
    </xdr:to>
    <xdr:sp macro="" textlink="">
      <xdr:nvSpPr>
        <xdr:cNvPr id="370" name="正方形/長方形 369">
          <a:extLst>
            <a:ext uri="{FF2B5EF4-FFF2-40B4-BE49-F238E27FC236}">
              <a16:creationId xmlns:a16="http://schemas.microsoft.com/office/drawing/2014/main" id="{283C6FE7-855C-48E1-B13B-E5341BA16C95}"/>
            </a:ext>
          </a:extLst>
        </xdr:cNvPr>
        <xdr:cNvSpPr/>
      </xdr:nvSpPr>
      <xdr:spPr>
        <a:xfrm>
          <a:off x="3352800" y="457200"/>
          <a:ext cx="1661160" cy="205740"/>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solidFill>
                <a:srgbClr val="0000CC"/>
              </a:solidFill>
            </a:rPr>
            <a:t>staging</a:t>
          </a:r>
          <a:r>
            <a:rPr kumimoji="1" lang="en-US" altLang="ja-JP" sz="1000" baseline="0">
              <a:solidFill>
                <a:srgbClr val="0000CC"/>
              </a:solidFill>
            </a:rPr>
            <a:t> table_</a:t>
          </a:r>
          <a:r>
            <a:rPr kumimoji="1" lang="en-US" altLang="ja-JP" sz="1000">
              <a:solidFill>
                <a:srgbClr val="0000CC"/>
              </a:solidFill>
            </a:rPr>
            <a:t>s(ource)</a:t>
          </a:r>
          <a:endParaRPr kumimoji="1" lang="ja-JP" altLang="en-US" sz="1000">
            <a:solidFill>
              <a:srgbClr val="0000CC"/>
            </a:solidFill>
          </a:endParaRPr>
        </a:p>
      </xdr:txBody>
    </xdr:sp>
    <xdr:clientData/>
  </xdr:twoCellAnchor>
  <xdr:twoCellAnchor>
    <xdr:from>
      <xdr:col>10</xdr:col>
      <xdr:colOff>0</xdr:colOff>
      <xdr:row>6</xdr:row>
      <xdr:rowOff>0</xdr:rowOff>
    </xdr:from>
    <xdr:to>
      <xdr:col>12</xdr:col>
      <xdr:colOff>320040</xdr:colOff>
      <xdr:row>6</xdr:row>
      <xdr:rowOff>205740</xdr:rowOff>
    </xdr:to>
    <xdr:sp macro="" textlink="">
      <xdr:nvSpPr>
        <xdr:cNvPr id="371" name="正方形/長方形 370">
          <a:extLst>
            <a:ext uri="{FF2B5EF4-FFF2-40B4-BE49-F238E27FC236}">
              <a16:creationId xmlns:a16="http://schemas.microsoft.com/office/drawing/2014/main" id="{5019EDC3-2479-4DF7-8A52-C01781ED3276}"/>
            </a:ext>
          </a:extLst>
        </xdr:cNvPr>
        <xdr:cNvSpPr/>
      </xdr:nvSpPr>
      <xdr:spPr>
        <a:xfrm>
          <a:off x="6035040" y="457200"/>
          <a:ext cx="1661160" cy="20574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staging table_m(apped)</a:t>
          </a:r>
          <a:endParaRPr kumimoji="1" lang="ja-JP" altLang="en-US" sz="1000"/>
        </a:p>
      </xdr:txBody>
    </xdr:sp>
    <xdr:clientData/>
  </xdr:twoCellAnchor>
  <xdr:twoCellAnchor>
    <xdr:from>
      <xdr:col>14</xdr:col>
      <xdr:colOff>0</xdr:colOff>
      <xdr:row>6</xdr:row>
      <xdr:rowOff>0</xdr:rowOff>
    </xdr:from>
    <xdr:to>
      <xdr:col>16</xdr:col>
      <xdr:colOff>320040</xdr:colOff>
      <xdr:row>6</xdr:row>
      <xdr:rowOff>205740</xdr:rowOff>
    </xdr:to>
    <xdr:sp macro="" textlink="">
      <xdr:nvSpPr>
        <xdr:cNvPr id="372" name="正方形/長方形 371">
          <a:extLst>
            <a:ext uri="{FF2B5EF4-FFF2-40B4-BE49-F238E27FC236}">
              <a16:creationId xmlns:a16="http://schemas.microsoft.com/office/drawing/2014/main" id="{337DC5A9-B633-43BB-B868-82571AB50C7A}"/>
            </a:ext>
          </a:extLst>
        </xdr:cNvPr>
        <xdr:cNvSpPr/>
      </xdr:nvSpPr>
      <xdr:spPr>
        <a:xfrm>
          <a:off x="8717280" y="457200"/>
          <a:ext cx="1661160" cy="20574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staging table_f(inalized)</a:t>
          </a:r>
          <a:endParaRPr kumimoji="1" lang="ja-JP" altLang="en-US" sz="1000"/>
        </a:p>
      </xdr:txBody>
    </xdr:sp>
    <xdr:clientData/>
  </xdr:twoCellAnchor>
  <xdr:twoCellAnchor>
    <xdr:from>
      <xdr:col>14</xdr:col>
      <xdr:colOff>0</xdr:colOff>
      <xdr:row>7</xdr:row>
      <xdr:rowOff>0</xdr:rowOff>
    </xdr:from>
    <xdr:to>
      <xdr:col>16</xdr:col>
      <xdr:colOff>320040</xdr:colOff>
      <xdr:row>7</xdr:row>
      <xdr:rowOff>205740</xdr:rowOff>
    </xdr:to>
    <xdr:sp macro="" textlink="">
      <xdr:nvSpPr>
        <xdr:cNvPr id="374" name="正方形/長方形 373">
          <a:extLst>
            <a:ext uri="{FF2B5EF4-FFF2-40B4-BE49-F238E27FC236}">
              <a16:creationId xmlns:a16="http://schemas.microsoft.com/office/drawing/2014/main" id="{2431AEFF-35F4-423C-A3B3-C392AF5B1C3B}"/>
            </a:ext>
          </a:extLst>
        </xdr:cNvPr>
        <xdr:cNvSpPr/>
      </xdr:nvSpPr>
      <xdr:spPr>
        <a:xfrm>
          <a:off x="8717280" y="685800"/>
          <a:ext cx="1661160" cy="205740"/>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staging</a:t>
          </a:r>
          <a:r>
            <a:rPr kumimoji="1" lang="en-US" altLang="ja-JP" sz="1000" baseline="0"/>
            <a:t> </a:t>
          </a:r>
          <a:r>
            <a:rPr kumimoji="1" lang="en-US" altLang="ja-JP" sz="1000"/>
            <a:t>table_e(rror)</a:t>
          </a:r>
          <a:endParaRPr kumimoji="1" lang="ja-JP" altLang="en-US" sz="1000"/>
        </a:p>
      </xdr:txBody>
    </xdr:sp>
    <xdr:clientData/>
  </xdr:twoCellAnchor>
  <xdr:twoCellAnchor>
    <xdr:from>
      <xdr:col>18</xdr:col>
      <xdr:colOff>0</xdr:colOff>
      <xdr:row>6</xdr:row>
      <xdr:rowOff>0</xdr:rowOff>
    </xdr:from>
    <xdr:to>
      <xdr:col>20</xdr:col>
      <xdr:colOff>320040</xdr:colOff>
      <xdr:row>6</xdr:row>
      <xdr:rowOff>205740</xdr:rowOff>
    </xdr:to>
    <xdr:sp macro="" textlink="">
      <xdr:nvSpPr>
        <xdr:cNvPr id="375" name="正方形/長方形 374">
          <a:extLst>
            <a:ext uri="{FF2B5EF4-FFF2-40B4-BE49-F238E27FC236}">
              <a16:creationId xmlns:a16="http://schemas.microsoft.com/office/drawing/2014/main" id="{5100CF73-5BAD-4EE4-B764-B381FD1CB726}"/>
            </a:ext>
          </a:extLst>
        </xdr:cNvPr>
        <xdr:cNvSpPr/>
      </xdr:nvSpPr>
      <xdr:spPr>
        <a:xfrm>
          <a:off x="11399520" y="457200"/>
          <a:ext cx="1661160" cy="205740"/>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solidFill>
                <a:srgbClr val="0000CC"/>
              </a:solidFill>
            </a:rPr>
            <a:t>production</a:t>
          </a:r>
          <a:r>
            <a:rPr kumimoji="1" lang="en-US" altLang="ja-JP" sz="1000" baseline="0">
              <a:solidFill>
                <a:srgbClr val="0000CC"/>
              </a:solidFill>
            </a:rPr>
            <a:t> table</a:t>
          </a:r>
          <a:endParaRPr kumimoji="1" lang="ja-JP" altLang="en-US" sz="1000">
            <a:solidFill>
              <a:srgbClr val="0000CC"/>
            </a:solidFill>
          </a:endParaRPr>
        </a:p>
      </xdr:txBody>
    </xdr:sp>
    <xdr:clientData/>
  </xdr:twoCellAnchor>
  <xdr:twoCellAnchor>
    <xdr:from>
      <xdr:col>4</xdr:col>
      <xdr:colOff>0</xdr:colOff>
      <xdr:row>6</xdr:row>
      <xdr:rowOff>102870</xdr:rowOff>
    </xdr:from>
    <xdr:to>
      <xdr:col>6</xdr:col>
      <xdr:colOff>0</xdr:colOff>
      <xdr:row>6</xdr:row>
      <xdr:rowOff>102870</xdr:rowOff>
    </xdr:to>
    <xdr:cxnSp macro="">
      <xdr:nvCxnSpPr>
        <xdr:cNvPr id="378" name="直線矢印コネクタ 377">
          <a:extLst>
            <a:ext uri="{FF2B5EF4-FFF2-40B4-BE49-F238E27FC236}">
              <a16:creationId xmlns:a16="http://schemas.microsoft.com/office/drawing/2014/main" id="{71F3ADB3-49A6-4A07-9518-C0EB397DF794}"/>
            </a:ext>
          </a:extLst>
        </xdr:cNvPr>
        <xdr:cNvCxnSpPr>
          <a:cxnSpLocks/>
          <a:stCxn id="369" idx="3"/>
          <a:endCxn id="370" idx="1"/>
        </xdr:cNvCxnSpPr>
      </xdr:nvCxnSpPr>
      <xdr:spPr>
        <a:xfrm>
          <a:off x="2011680" y="560070"/>
          <a:ext cx="134112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320040</xdr:colOff>
      <xdr:row>6</xdr:row>
      <xdr:rowOff>102870</xdr:rowOff>
    </xdr:from>
    <xdr:to>
      <xdr:col>10</xdr:col>
      <xdr:colOff>0</xdr:colOff>
      <xdr:row>6</xdr:row>
      <xdr:rowOff>102870</xdr:rowOff>
    </xdr:to>
    <xdr:cxnSp macro="">
      <xdr:nvCxnSpPr>
        <xdr:cNvPr id="381" name="直線矢印コネクタ 380">
          <a:extLst>
            <a:ext uri="{FF2B5EF4-FFF2-40B4-BE49-F238E27FC236}">
              <a16:creationId xmlns:a16="http://schemas.microsoft.com/office/drawing/2014/main" id="{B73D0B23-AE02-437D-8033-75B9C51C08AB}"/>
            </a:ext>
          </a:extLst>
        </xdr:cNvPr>
        <xdr:cNvCxnSpPr>
          <a:cxnSpLocks/>
          <a:stCxn id="370" idx="3"/>
          <a:endCxn id="371" idx="1"/>
        </xdr:cNvCxnSpPr>
      </xdr:nvCxnSpPr>
      <xdr:spPr>
        <a:xfrm>
          <a:off x="5013960" y="560070"/>
          <a:ext cx="102108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320040</xdr:colOff>
      <xdr:row>6</xdr:row>
      <xdr:rowOff>102870</xdr:rowOff>
    </xdr:from>
    <xdr:to>
      <xdr:col>14</xdr:col>
      <xdr:colOff>0</xdr:colOff>
      <xdr:row>6</xdr:row>
      <xdr:rowOff>102870</xdr:rowOff>
    </xdr:to>
    <xdr:cxnSp macro="">
      <xdr:nvCxnSpPr>
        <xdr:cNvPr id="384" name="直線矢印コネクタ 383">
          <a:extLst>
            <a:ext uri="{FF2B5EF4-FFF2-40B4-BE49-F238E27FC236}">
              <a16:creationId xmlns:a16="http://schemas.microsoft.com/office/drawing/2014/main" id="{F9E603F5-299E-4969-A2A9-B8E8E857909B}"/>
            </a:ext>
          </a:extLst>
        </xdr:cNvPr>
        <xdr:cNvCxnSpPr>
          <a:cxnSpLocks/>
          <a:stCxn id="371" idx="3"/>
          <a:endCxn id="372" idx="1"/>
        </xdr:cNvCxnSpPr>
      </xdr:nvCxnSpPr>
      <xdr:spPr>
        <a:xfrm>
          <a:off x="7696200" y="560070"/>
          <a:ext cx="102108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320040</xdr:colOff>
      <xdr:row>6</xdr:row>
      <xdr:rowOff>102870</xdr:rowOff>
    </xdr:from>
    <xdr:to>
      <xdr:col>14</xdr:col>
      <xdr:colOff>0</xdr:colOff>
      <xdr:row>7</xdr:row>
      <xdr:rowOff>102870</xdr:rowOff>
    </xdr:to>
    <xdr:cxnSp macro="">
      <xdr:nvCxnSpPr>
        <xdr:cNvPr id="387" name="直線矢印コネクタ 386">
          <a:extLst>
            <a:ext uri="{FF2B5EF4-FFF2-40B4-BE49-F238E27FC236}">
              <a16:creationId xmlns:a16="http://schemas.microsoft.com/office/drawing/2014/main" id="{4044B2DB-2F74-415D-81A1-ED7E35F15DB9}"/>
            </a:ext>
          </a:extLst>
        </xdr:cNvPr>
        <xdr:cNvCxnSpPr>
          <a:cxnSpLocks/>
          <a:stCxn id="371" idx="3"/>
          <a:endCxn id="374" idx="1"/>
        </xdr:cNvCxnSpPr>
      </xdr:nvCxnSpPr>
      <xdr:spPr>
        <a:xfrm>
          <a:off x="7696200" y="560070"/>
          <a:ext cx="1021080" cy="2286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320040</xdr:colOff>
      <xdr:row>6</xdr:row>
      <xdr:rowOff>102870</xdr:rowOff>
    </xdr:from>
    <xdr:to>
      <xdr:col>18</xdr:col>
      <xdr:colOff>0</xdr:colOff>
      <xdr:row>6</xdr:row>
      <xdr:rowOff>102870</xdr:rowOff>
    </xdr:to>
    <xdr:cxnSp macro="">
      <xdr:nvCxnSpPr>
        <xdr:cNvPr id="390" name="直線矢印コネクタ 389">
          <a:extLst>
            <a:ext uri="{FF2B5EF4-FFF2-40B4-BE49-F238E27FC236}">
              <a16:creationId xmlns:a16="http://schemas.microsoft.com/office/drawing/2014/main" id="{B919F720-71AF-46A2-BF7B-287FBF5CF82B}"/>
            </a:ext>
          </a:extLst>
        </xdr:cNvPr>
        <xdr:cNvCxnSpPr>
          <a:cxnSpLocks/>
          <a:stCxn id="372" idx="3"/>
          <a:endCxn id="375" idx="1"/>
        </xdr:cNvCxnSpPr>
      </xdr:nvCxnSpPr>
      <xdr:spPr>
        <a:xfrm>
          <a:off x="10378440" y="560070"/>
          <a:ext cx="102108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0</xdr:colOff>
      <xdr:row>13</xdr:row>
      <xdr:rowOff>60960</xdr:rowOff>
    </xdr:from>
    <xdr:to>
      <xdr:col>5</xdr:col>
      <xdr:colOff>624840</xdr:colOff>
      <xdr:row>22</xdr:row>
      <xdr:rowOff>213360</xdr:rowOff>
    </xdr:to>
    <xdr:sp macro="" textlink="">
      <xdr:nvSpPr>
        <xdr:cNvPr id="394" name="正方形/長方形 393">
          <a:extLst>
            <a:ext uri="{FF2B5EF4-FFF2-40B4-BE49-F238E27FC236}">
              <a16:creationId xmlns:a16="http://schemas.microsoft.com/office/drawing/2014/main" id="{F0BCC337-6290-F021-2561-31D25B7956EA}"/>
            </a:ext>
          </a:extLst>
        </xdr:cNvPr>
        <xdr:cNvSpPr/>
      </xdr:nvSpPr>
      <xdr:spPr>
        <a:xfrm>
          <a:off x="1341120" y="1889760"/>
          <a:ext cx="2636520" cy="22098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b="1">
              <a:solidFill>
                <a:sysClr val="windowText" lastClr="000000"/>
              </a:solidFill>
            </a:rPr>
            <a:t>【Stage 1】Structure Transformation</a:t>
          </a:r>
        </a:p>
        <a:p>
          <a:pPr algn="l"/>
          <a:r>
            <a:rPr kumimoji="1" lang="ja-JP" altLang="en-US" sz="900">
              <a:solidFill>
                <a:sysClr val="windowText" lastClr="000000"/>
              </a:solidFill>
            </a:rPr>
            <a:t>元データを</a:t>
          </a:r>
          <a:r>
            <a:rPr kumimoji="1" lang="en-US" altLang="ja-JP" sz="900">
              <a:solidFill>
                <a:sysClr val="windowText" lastClr="000000"/>
              </a:solidFill>
            </a:rPr>
            <a:t>OMOP</a:t>
          </a:r>
          <a:r>
            <a:rPr kumimoji="1" lang="ja-JP" altLang="en-US" sz="900">
              <a:solidFill>
                <a:sysClr val="windowText" lastClr="000000"/>
              </a:solidFill>
            </a:rPr>
            <a:t>テーブル形式に近い形式に変換した</a:t>
          </a:r>
          <a:r>
            <a:rPr kumimoji="1" lang="en-US" altLang="ja-JP" sz="900">
              <a:solidFill>
                <a:sysClr val="windowText" lastClr="000000"/>
              </a:solidFill>
            </a:rPr>
            <a:t>staging table_s(ource)</a:t>
          </a:r>
          <a:r>
            <a:rPr kumimoji="1" lang="ja-JP" altLang="en-US" sz="900">
              <a:solidFill>
                <a:sysClr val="windowText" lastClr="000000"/>
              </a:solidFill>
            </a:rPr>
            <a:t>を生成する。</a:t>
          </a:r>
          <a:endParaRPr kumimoji="1" lang="en-US" altLang="ja-JP" sz="900">
            <a:solidFill>
              <a:sysClr val="windowText" lastClr="000000"/>
            </a:solidFill>
          </a:endParaRPr>
        </a:p>
        <a:p>
          <a:pPr algn="l"/>
          <a:r>
            <a:rPr kumimoji="1" lang="ja-JP" altLang="en-US" sz="900">
              <a:solidFill>
                <a:sysClr val="windowText" lastClr="000000"/>
              </a:solidFill>
            </a:rPr>
            <a:t>・</a:t>
          </a:r>
          <a:r>
            <a:rPr kumimoji="1" lang="en-US" altLang="ja-JP" sz="900">
              <a:solidFill>
                <a:sysClr val="windowText" lastClr="000000"/>
              </a:solidFill>
            </a:rPr>
            <a:t>vocabulary</a:t>
          </a:r>
          <a:r>
            <a:rPr kumimoji="1" lang="en-US" altLang="ja-JP" sz="900" baseline="0">
              <a:solidFill>
                <a:sysClr val="windowText" lastClr="000000"/>
              </a:solidFill>
            </a:rPr>
            <a:t> mapping</a:t>
          </a:r>
          <a:r>
            <a:rPr kumimoji="1" lang="ja-JP" altLang="en-US" sz="900" baseline="0">
              <a:solidFill>
                <a:sysClr val="windowText" lastClr="000000"/>
              </a:solidFill>
            </a:rPr>
            <a:t>は行わず、元データをできる限りそのまま維持する</a:t>
          </a:r>
          <a:endParaRPr kumimoji="1" lang="en-US" altLang="ja-JP" sz="900" baseline="0">
            <a:solidFill>
              <a:sysClr val="windowText" lastClr="000000"/>
            </a:solidFill>
          </a:endParaRPr>
        </a:p>
        <a:p>
          <a:pPr algn="l"/>
          <a:r>
            <a:rPr kumimoji="1" lang="ja-JP" altLang="en-US" sz="900" baseline="0">
              <a:solidFill>
                <a:sysClr val="windowText" lastClr="000000"/>
              </a:solidFill>
            </a:rPr>
            <a:t>・コードと名称を連結するなどの加工を行う</a:t>
          </a:r>
          <a:endParaRPr kumimoji="1" lang="en-US" altLang="ja-JP" sz="900" baseline="0">
            <a:solidFill>
              <a:sysClr val="windowText" lastClr="000000"/>
            </a:solidFill>
          </a:endParaRPr>
        </a:p>
        <a:p>
          <a:pPr algn="l"/>
          <a:r>
            <a:rPr kumimoji="1" lang="ja-JP" altLang="en-US" sz="900" baseline="0">
              <a:solidFill>
                <a:sysClr val="windowText" lastClr="000000"/>
              </a:solidFill>
            </a:rPr>
            <a:t>・個別のマスタを用いたコード変換を行う</a:t>
          </a:r>
          <a:endParaRPr kumimoji="1" lang="ja-JP" altLang="en-US" sz="900">
            <a:solidFill>
              <a:sysClr val="windowText" lastClr="000000"/>
            </a:solidFill>
          </a:endParaRPr>
        </a:p>
      </xdr:txBody>
    </xdr:sp>
    <xdr:clientData/>
  </xdr:twoCellAnchor>
  <xdr:twoCellAnchor>
    <xdr:from>
      <xdr:col>7</xdr:col>
      <xdr:colOff>160020</xdr:colOff>
      <xdr:row>13</xdr:row>
      <xdr:rowOff>60960</xdr:rowOff>
    </xdr:from>
    <xdr:to>
      <xdr:col>11</xdr:col>
      <xdr:colOff>99060</xdr:colOff>
      <xdr:row>22</xdr:row>
      <xdr:rowOff>213360</xdr:rowOff>
    </xdr:to>
    <xdr:sp macro="" textlink="">
      <xdr:nvSpPr>
        <xdr:cNvPr id="395" name="正方形/長方形 394">
          <a:extLst>
            <a:ext uri="{FF2B5EF4-FFF2-40B4-BE49-F238E27FC236}">
              <a16:creationId xmlns:a16="http://schemas.microsoft.com/office/drawing/2014/main" id="{B089C018-1BB6-DE68-172B-68B42820DE04}"/>
            </a:ext>
          </a:extLst>
        </xdr:cNvPr>
        <xdr:cNvSpPr/>
      </xdr:nvSpPr>
      <xdr:spPr>
        <a:xfrm>
          <a:off x="4853940" y="1889760"/>
          <a:ext cx="2621280" cy="22098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b="1">
              <a:solidFill>
                <a:sysClr val="windowText" lastClr="000000"/>
              </a:solidFill>
            </a:rPr>
            <a:t>【Stage 2】Value Transformation</a:t>
          </a:r>
        </a:p>
        <a:p>
          <a:pPr algn="l"/>
          <a:r>
            <a:rPr kumimoji="1" lang="ja-JP" altLang="en-US" sz="900">
              <a:solidFill>
                <a:sysClr val="windowText" lastClr="000000"/>
              </a:solidFill>
            </a:rPr>
            <a:t>元データを</a:t>
          </a:r>
          <a:r>
            <a:rPr kumimoji="1" lang="en-US" altLang="ja-JP" sz="900">
              <a:solidFill>
                <a:sysClr val="windowText" lastClr="000000"/>
              </a:solidFill>
            </a:rPr>
            <a:t>OMOP</a:t>
          </a:r>
          <a:r>
            <a:rPr kumimoji="1" lang="ja-JP" altLang="en-US" sz="900">
              <a:solidFill>
                <a:sysClr val="windowText" lastClr="000000"/>
              </a:solidFill>
            </a:rPr>
            <a:t>テーブル形式に近い形式に変換した</a:t>
          </a:r>
          <a:r>
            <a:rPr kumimoji="1" lang="en-US" altLang="ja-JP" sz="900">
              <a:solidFill>
                <a:sysClr val="windowText" lastClr="000000"/>
              </a:solidFill>
              <a:effectLst/>
              <a:latin typeface="+mn-lt"/>
              <a:ea typeface="+mn-ea"/>
              <a:cs typeface="+mn-cs"/>
            </a:rPr>
            <a:t>staging table_s(ource)</a:t>
          </a:r>
          <a:r>
            <a:rPr kumimoji="1" lang="ja-JP" altLang="en-US" sz="900">
              <a:solidFill>
                <a:sysClr val="windowText" lastClr="000000"/>
              </a:solidFill>
              <a:effectLst/>
              <a:latin typeface="+mn-lt"/>
              <a:ea typeface="+mn-ea"/>
              <a:cs typeface="+mn-cs"/>
            </a:rPr>
            <a:t>に対して外部テーブルから値を取得した</a:t>
          </a:r>
          <a:r>
            <a:rPr kumimoji="1" lang="en-US" altLang="ja-JP" sz="900">
              <a:solidFill>
                <a:sysClr val="windowText" lastClr="000000"/>
              </a:solidFill>
              <a:effectLst/>
              <a:latin typeface="+mn-lt"/>
              <a:ea typeface="+mn-ea"/>
              <a:cs typeface="+mn-cs"/>
            </a:rPr>
            <a:t>staging table_</a:t>
          </a:r>
        </a:p>
        <a:p>
          <a:pPr algn="l"/>
          <a:r>
            <a:rPr kumimoji="1" lang="en-US" altLang="ja-JP" sz="900">
              <a:solidFill>
                <a:sysClr val="windowText" lastClr="000000"/>
              </a:solidFill>
              <a:effectLst/>
              <a:latin typeface="+mn-lt"/>
              <a:ea typeface="+mn-ea"/>
              <a:cs typeface="+mn-cs"/>
            </a:rPr>
            <a:t>m(apped)</a:t>
          </a:r>
          <a:r>
            <a:rPr kumimoji="1" lang="ja-JP" altLang="en-US" sz="900">
              <a:solidFill>
                <a:sysClr val="windowText" lastClr="000000"/>
              </a:solidFill>
              <a:effectLst/>
              <a:latin typeface="+mn-lt"/>
              <a:ea typeface="+mn-ea"/>
              <a:cs typeface="+mn-cs"/>
            </a:rPr>
            <a:t>を生成する。</a:t>
          </a:r>
          <a:endParaRPr kumimoji="1" lang="en-US" altLang="ja-JP" sz="900">
            <a:solidFill>
              <a:sysClr val="windowText" lastClr="000000"/>
            </a:solidFill>
            <a:effectLst/>
            <a:latin typeface="+mn-lt"/>
            <a:ea typeface="+mn-ea"/>
            <a:cs typeface="+mn-cs"/>
          </a:endParaRPr>
        </a:p>
        <a:p>
          <a:pPr algn="l"/>
          <a:r>
            <a:rPr kumimoji="1" lang="ja-JP" altLang="en-US" sz="900">
              <a:solidFill>
                <a:sysClr val="windowText" lastClr="000000"/>
              </a:solidFill>
              <a:effectLst/>
              <a:latin typeface="+mn-lt"/>
              <a:ea typeface="+mn-ea"/>
              <a:cs typeface="+mn-cs"/>
            </a:rPr>
            <a:t>・</a:t>
          </a:r>
          <a:r>
            <a:rPr kumimoji="1" lang="en-US" altLang="ja-JP" sz="900">
              <a:solidFill>
                <a:sysClr val="windowText" lastClr="000000"/>
              </a:solidFill>
              <a:effectLst/>
              <a:latin typeface="+mn-lt"/>
              <a:ea typeface="+mn-ea"/>
              <a:cs typeface="+mn-cs"/>
            </a:rPr>
            <a:t>person_id</a:t>
          </a:r>
          <a:r>
            <a:rPr kumimoji="1" lang="ja-JP" altLang="en-US" sz="900">
              <a:solidFill>
                <a:sysClr val="windowText" lastClr="000000"/>
              </a:solidFill>
              <a:effectLst/>
              <a:latin typeface="+mn-lt"/>
              <a:ea typeface="+mn-ea"/>
              <a:cs typeface="+mn-cs"/>
            </a:rPr>
            <a:t>、</a:t>
          </a:r>
          <a:r>
            <a:rPr kumimoji="1" lang="en-US" altLang="ja-JP" sz="900">
              <a:solidFill>
                <a:sysClr val="windowText" lastClr="000000"/>
              </a:solidFill>
              <a:effectLst/>
              <a:latin typeface="+mn-lt"/>
              <a:ea typeface="+mn-ea"/>
              <a:cs typeface="+mn-cs"/>
            </a:rPr>
            <a:t>provider_id</a:t>
          </a:r>
          <a:r>
            <a:rPr kumimoji="1" lang="ja-JP" altLang="en-US" sz="900">
              <a:solidFill>
                <a:sysClr val="windowText" lastClr="000000"/>
              </a:solidFill>
              <a:effectLst/>
              <a:latin typeface="+mn-lt"/>
              <a:ea typeface="+mn-ea"/>
              <a:cs typeface="+mn-cs"/>
            </a:rPr>
            <a:t>等の取得</a:t>
          </a:r>
          <a:endParaRPr kumimoji="1" lang="en-US" altLang="ja-JP" sz="900">
            <a:solidFill>
              <a:sysClr val="windowText" lastClr="000000"/>
            </a:solidFill>
            <a:effectLst/>
            <a:latin typeface="+mn-lt"/>
            <a:ea typeface="+mn-ea"/>
            <a:cs typeface="+mn-cs"/>
          </a:endParaRPr>
        </a:p>
        <a:p>
          <a:r>
            <a:rPr kumimoji="1" lang="ja-JP" altLang="ja-JP" sz="900">
              <a:solidFill>
                <a:sysClr val="windowText" lastClr="000000"/>
              </a:solidFill>
              <a:effectLst/>
              <a:latin typeface="+mn-lt"/>
              <a:ea typeface="+mn-ea"/>
              <a:cs typeface="+mn-cs"/>
            </a:rPr>
            <a:t>・</a:t>
          </a:r>
          <a:r>
            <a:rPr kumimoji="1" lang="en-US" altLang="ja-JP" sz="900">
              <a:solidFill>
                <a:sysClr val="windowText" lastClr="000000"/>
              </a:solidFill>
              <a:effectLst/>
              <a:latin typeface="+mn-lt"/>
              <a:ea typeface="+mn-ea"/>
              <a:cs typeface="+mn-cs"/>
            </a:rPr>
            <a:t>source_to_concept_map</a:t>
          </a:r>
          <a:r>
            <a:rPr kumimoji="1" lang="ja-JP" altLang="en-US" sz="900">
              <a:solidFill>
                <a:sysClr val="windowText" lastClr="000000"/>
              </a:solidFill>
              <a:effectLst/>
              <a:latin typeface="+mn-lt"/>
              <a:ea typeface="+mn-ea"/>
              <a:cs typeface="+mn-cs"/>
            </a:rPr>
            <a:t>を介した各種</a:t>
          </a:r>
          <a:r>
            <a:rPr kumimoji="1" lang="en-US" altLang="ja-JP" sz="900">
              <a:solidFill>
                <a:sysClr val="windowText" lastClr="000000"/>
              </a:solidFill>
              <a:effectLst/>
              <a:latin typeface="+mn-lt"/>
              <a:ea typeface="+mn-ea"/>
              <a:cs typeface="+mn-cs"/>
            </a:rPr>
            <a:t>standard concept</a:t>
          </a:r>
          <a:r>
            <a:rPr kumimoji="1" lang="ja-JP" altLang="en-US" sz="900">
              <a:solidFill>
                <a:sysClr val="windowText" lastClr="000000"/>
              </a:solidFill>
              <a:effectLst/>
              <a:latin typeface="+mn-lt"/>
              <a:ea typeface="+mn-ea"/>
              <a:cs typeface="+mn-cs"/>
            </a:rPr>
            <a:t>の取得</a:t>
          </a:r>
          <a:r>
            <a:rPr kumimoji="1" lang="en-US" altLang="ja-JP" sz="900">
              <a:solidFill>
                <a:sysClr val="windowText" lastClr="000000"/>
              </a:solidFill>
              <a:effectLst/>
              <a:latin typeface="+mn-lt"/>
              <a:ea typeface="+mn-ea"/>
              <a:cs typeface="+mn-cs"/>
            </a:rPr>
            <a:t>※</a:t>
          </a:r>
          <a:r>
            <a:rPr kumimoji="1" lang="ja-JP" altLang="en-US" sz="900">
              <a:solidFill>
                <a:sysClr val="windowText" lastClr="000000"/>
              </a:solidFill>
              <a:effectLst/>
              <a:latin typeface="+mn-lt"/>
              <a:ea typeface="+mn-ea"/>
              <a:cs typeface="+mn-cs"/>
            </a:rPr>
            <a:t>ソースコードから</a:t>
          </a:r>
          <a:r>
            <a:rPr kumimoji="1" lang="en-US" altLang="ja-JP" sz="900">
              <a:solidFill>
                <a:sysClr val="windowText" lastClr="000000"/>
              </a:solidFill>
              <a:effectLst/>
              <a:latin typeface="+mn-lt"/>
              <a:ea typeface="+mn-ea"/>
              <a:cs typeface="+mn-cs"/>
            </a:rPr>
            <a:t>concept</a:t>
          </a:r>
          <a:r>
            <a:rPr kumimoji="1" lang="ja-JP" altLang="en-US" sz="900">
              <a:solidFill>
                <a:sysClr val="windowText" lastClr="000000"/>
              </a:solidFill>
              <a:effectLst/>
              <a:latin typeface="+mn-lt"/>
              <a:ea typeface="+mn-ea"/>
              <a:cs typeface="+mn-cs"/>
            </a:rPr>
            <a:t>、</a:t>
          </a:r>
          <a:r>
            <a:rPr kumimoji="1" lang="en-US" altLang="ja-JP" sz="900">
              <a:solidFill>
                <a:sysClr val="windowText" lastClr="000000"/>
              </a:solidFill>
              <a:effectLst/>
              <a:latin typeface="+mn-lt"/>
              <a:ea typeface="+mn-ea"/>
              <a:cs typeface="+mn-cs"/>
            </a:rPr>
            <a:t>concept_relastionship</a:t>
          </a:r>
          <a:r>
            <a:rPr kumimoji="1" lang="ja-JP" altLang="en-US" sz="900">
              <a:solidFill>
                <a:sysClr val="windowText" lastClr="000000"/>
              </a:solidFill>
              <a:effectLst/>
              <a:latin typeface="+mn-lt"/>
              <a:ea typeface="+mn-ea"/>
              <a:cs typeface="+mn-cs"/>
            </a:rPr>
            <a:t>を直接利用した変換は行わない</a:t>
          </a:r>
          <a:endParaRPr lang="ja-JP" altLang="ja-JP" sz="900">
            <a:solidFill>
              <a:sysClr val="windowText" lastClr="000000"/>
            </a:solidFill>
            <a:effectLst/>
          </a:endParaRPr>
        </a:p>
      </xdr:txBody>
    </xdr:sp>
    <xdr:clientData/>
  </xdr:twoCellAnchor>
  <xdr:twoCellAnchor>
    <xdr:from>
      <xdr:col>12</xdr:col>
      <xdr:colOff>472440</xdr:colOff>
      <xdr:row>13</xdr:row>
      <xdr:rowOff>60960</xdr:rowOff>
    </xdr:from>
    <xdr:to>
      <xdr:col>16</xdr:col>
      <xdr:colOff>411480</xdr:colOff>
      <xdr:row>22</xdr:row>
      <xdr:rowOff>213360</xdr:rowOff>
    </xdr:to>
    <xdr:sp macro="" textlink="">
      <xdr:nvSpPr>
        <xdr:cNvPr id="396" name="正方形/長方形 395">
          <a:extLst>
            <a:ext uri="{FF2B5EF4-FFF2-40B4-BE49-F238E27FC236}">
              <a16:creationId xmlns:a16="http://schemas.microsoft.com/office/drawing/2014/main" id="{D4D0E610-8B15-1EB1-BE72-8B3879329BAF}"/>
            </a:ext>
          </a:extLst>
        </xdr:cNvPr>
        <xdr:cNvSpPr/>
      </xdr:nvSpPr>
      <xdr:spPr>
        <a:xfrm>
          <a:off x="8519160" y="1889760"/>
          <a:ext cx="2621280" cy="22098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b="1">
              <a:solidFill>
                <a:sysClr val="windowText" lastClr="000000"/>
              </a:solidFill>
            </a:rPr>
            <a:t>【Stage 3】Quality</a:t>
          </a:r>
          <a:r>
            <a:rPr kumimoji="1" lang="en-US" altLang="ja-JP" sz="900" b="1" baseline="0">
              <a:solidFill>
                <a:sysClr val="windowText" lastClr="000000"/>
              </a:solidFill>
            </a:rPr>
            <a:t> Check</a:t>
          </a:r>
          <a:endParaRPr kumimoji="1" lang="en-US" altLang="ja-JP" sz="900" b="1">
            <a:solidFill>
              <a:sysClr val="windowText" lastClr="000000"/>
            </a:solidFill>
          </a:endParaRPr>
        </a:p>
        <a:p>
          <a:pPr algn="l"/>
          <a:r>
            <a:rPr kumimoji="1" lang="en-US" altLang="ja-JP" sz="900">
              <a:solidFill>
                <a:sysClr val="windowText" lastClr="000000"/>
              </a:solidFill>
              <a:effectLst/>
              <a:latin typeface="+mn-lt"/>
              <a:ea typeface="+mn-ea"/>
              <a:cs typeface="+mn-cs"/>
            </a:rPr>
            <a:t>staging table_m(apped)</a:t>
          </a:r>
          <a:r>
            <a:rPr kumimoji="1" lang="ja-JP" altLang="en-US" sz="900">
              <a:solidFill>
                <a:sysClr val="windowText" lastClr="000000"/>
              </a:solidFill>
              <a:effectLst/>
              <a:latin typeface="+mn-lt"/>
              <a:ea typeface="+mn-ea"/>
              <a:cs typeface="+mn-cs"/>
            </a:rPr>
            <a:t>について値の品質チェックを行い、検証済データを</a:t>
          </a:r>
          <a:r>
            <a:rPr kumimoji="1" lang="en-US" altLang="ja-JP" sz="900">
              <a:solidFill>
                <a:sysClr val="windowText" lastClr="000000"/>
              </a:solidFill>
              <a:effectLst/>
              <a:latin typeface="+mn-lt"/>
              <a:ea typeface="+mn-ea"/>
              <a:cs typeface="+mn-cs"/>
            </a:rPr>
            <a:t>staging table_f(inalize)</a:t>
          </a:r>
          <a:r>
            <a:rPr kumimoji="1" lang="ja-JP" altLang="en-US" sz="900">
              <a:solidFill>
                <a:sysClr val="windowText" lastClr="000000"/>
              </a:solidFill>
              <a:effectLst/>
              <a:latin typeface="+mn-lt"/>
              <a:ea typeface="+mn-ea"/>
              <a:cs typeface="+mn-cs"/>
            </a:rPr>
            <a:t>、エラーデータを</a:t>
          </a:r>
          <a:r>
            <a:rPr kumimoji="1" lang="en-US" altLang="ja-JP" sz="900">
              <a:solidFill>
                <a:sysClr val="windowText" lastClr="000000"/>
              </a:solidFill>
              <a:effectLst/>
              <a:latin typeface="+mn-lt"/>
              <a:ea typeface="+mn-ea"/>
              <a:cs typeface="+mn-cs"/>
            </a:rPr>
            <a:t>staging</a:t>
          </a:r>
          <a:r>
            <a:rPr kumimoji="1" lang="ja-JP" altLang="en-US" sz="900" baseline="0">
              <a:solidFill>
                <a:sysClr val="windowText" lastClr="000000"/>
              </a:solidFill>
              <a:effectLst/>
              <a:latin typeface="+mn-lt"/>
              <a:ea typeface="+mn-ea"/>
              <a:cs typeface="+mn-cs"/>
            </a:rPr>
            <a:t> </a:t>
          </a:r>
          <a:r>
            <a:rPr kumimoji="1" lang="en-US" altLang="ja-JP" sz="900" baseline="0">
              <a:solidFill>
                <a:sysClr val="windowText" lastClr="000000"/>
              </a:solidFill>
              <a:effectLst/>
              <a:latin typeface="+mn-lt"/>
              <a:ea typeface="+mn-ea"/>
              <a:cs typeface="+mn-cs"/>
            </a:rPr>
            <a:t>table_e(rror)</a:t>
          </a:r>
          <a:r>
            <a:rPr kumimoji="1" lang="ja-JP" altLang="en-US" sz="900">
              <a:solidFill>
                <a:sysClr val="windowText" lastClr="000000"/>
              </a:solidFill>
              <a:effectLst/>
              <a:latin typeface="+mn-lt"/>
              <a:ea typeface="+mn-ea"/>
              <a:cs typeface="+mn-cs"/>
            </a:rPr>
            <a:t>に振り分ける</a:t>
          </a:r>
          <a:endParaRPr kumimoji="1" lang="en-US" altLang="ja-JP" sz="900">
            <a:solidFill>
              <a:sysClr val="windowText" lastClr="000000"/>
            </a:solidFill>
            <a:effectLst/>
            <a:latin typeface="+mn-lt"/>
            <a:ea typeface="+mn-ea"/>
            <a:cs typeface="+mn-cs"/>
          </a:endParaRPr>
        </a:p>
        <a:p>
          <a:pPr algn="l"/>
          <a:r>
            <a:rPr kumimoji="1" lang="ja-JP" altLang="en-US" sz="900">
              <a:solidFill>
                <a:sysClr val="windowText" lastClr="000000"/>
              </a:solidFill>
              <a:effectLst/>
              <a:latin typeface="+mn-lt"/>
              <a:ea typeface="+mn-ea"/>
              <a:cs typeface="+mn-cs"/>
            </a:rPr>
            <a:t>・必須カラムの充足チェック</a:t>
          </a:r>
          <a:endParaRPr kumimoji="1" lang="en-US" altLang="ja-JP" sz="900">
            <a:solidFill>
              <a:sysClr val="windowText" lastClr="000000"/>
            </a:solidFill>
            <a:effectLst/>
            <a:latin typeface="+mn-lt"/>
            <a:ea typeface="+mn-ea"/>
            <a:cs typeface="+mn-cs"/>
          </a:endParaRPr>
        </a:p>
        <a:p>
          <a:pPr algn="l"/>
          <a:r>
            <a:rPr kumimoji="1" lang="ja-JP" altLang="ja-JP" sz="900">
              <a:solidFill>
                <a:sysClr val="windowText" lastClr="000000"/>
              </a:solidFill>
              <a:effectLst/>
              <a:latin typeface="+mn-lt"/>
              <a:ea typeface="+mn-ea"/>
              <a:cs typeface="+mn-cs"/>
            </a:rPr>
            <a:t>・</a:t>
          </a:r>
          <a:r>
            <a:rPr kumimoji="1" lang="ja-JP" altLang="en-US" sz="900">
              <a:solidFill>
                <a:sysClr val="windowText" lastClr="000000"/>
              </a:solidFill>
              <a:effectLst/>
              <a:latin typeface="+mn-lt"/>
              <a:ea typeface="+mn-ea"/>
              <a:cs typeface="+mn-cs"/>
            </a:rPr>
            <a:t>必須</a:t>
          </a:r>
          <a:r>
            <a:rPr kumimoji="1" lang="en-US" altLang="ja-JP" sz="900">
              <a:solidFill>
                <a:sysClr val="windowText" lastClr="000000"/>
              </a:solidFill>
              <a:effectLst/>
              <a:latin typeface="+mn-lt"/>
              <a:ea typeface="+mn-ea"/>
              <a:cs typeface="+mn-cs"/>
            </a:rPr>
            <a:t>concept_id</a:t>
          </a:r>
          <a:r>
            <a:rPr kumimoji="1" lang="ja-JP" altLang="en-US" sz="900">
              <a:solidFill>
                <a:sysClr val="windowText" lastClr="000000"/>
              </a:solidFill>
              <a:effectLst/>
              <a:latin typeface="+mn-lt"/>
              <a:ea typeface="+mn-ea"/>
              <a:cs typeface="+mn-cs"/>
            </a:rPr>
            <a:t>のマッピングチェック</a:t>
          </a:r>
          <a:endParaRPr kumimoji="1" lang="en-US" altLang="ja-JP" sz="900">
            <a:solidFill>
              <a:sysClr val="windowText" lastClr="000000"/>
            </a:solidFill>
            <a:effectLst/>
            <a:latin typeface="+mn-lt"/>
            <a:ea typeface="+mn-ea"/>
            <a:cs typeface="+mn-cs"/>
          </a:endParaRPr>
        </a:p>
      </xdr:txBody>
    </xdr:sp>
    <xdr:clientData/>
  </xdr:twoCellAnchor>
  <xdr:twoCellAnchor>
    <xdr:from>
      <xdr:col>18</xdr:col>
      <xdr:colOff>0</xdr:colOff>
      <xdr:row>13</xdr:row>
      <xdr:rowOff>60960</xdr:rowOff>
    </xdr:from>
    <xdr:to>
      <xdr:col>20</xdr:col>
      <xdr:colOff>365760</xdr:colOff>
      <xdr:row>22</xdr:row>
      <xdr:rowOff>213360</xdr:rowOff>
    </xdr:to>
    <xdr:sp macro="" textlink="">
      <xdr:nvSpPr>
        <xdr:cNvPr id="397" name="正方形/長方形 396">
          <a:extLst>
            <a:ext uri="{FF2B5EF4-FFF2-40B4-BE49-F238E27FC236}">
              <a16:creationId xmlns:a16="http://schemas.microsoft.com/office/drawing/2014/main" id="{2738E349-A37D-46D1-15D4-C574C334E124}"/>
            </a:ext>
          </a:extLst>
        </xdr:cNvPr>
        <xdr:cNvSpPr/>
      </xdr:nvSpPr>
      <xdr:spPr>
        <a:xfrm>
          <a:off x="12070080" y="1889760"/>
          <a:ext cx="1706880" cy="22098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b="1">
              <a:solidFill>
                <a:sysClr val="windowText" lastClr="000000"/>
              </a:solidFill>
            </a:rPr>
            <a:t>【Stage 4】Deploy</a:t>
          </a:r>
        </a:p>
        <a:p>
          <a:pPr algn="l"/>
          <a:r>
            <a:rPr kumimoji="1" lang="en-US" altLang="ja-JP" sz="900">
              <a:solidFill>
                <a:sysClr val="windowText" lastClr="000000"/>
              </a:solidFill>
              <a:effectLst/>
              <a:latin typeface="+mn-lt"/>
              <a:ea typeface="+mn-ea"/>
              <a:cs typeface="+mn-cs"/>
            </a:rPr>
            <a:t>staging table_f(finalize)</a:t>
          </a:r>
          <a:r>
            <a:rPr kumimoji="1" lang="ja-JP" altLang="en-US" sz="900">
              <a:solidFill>
                <a:sysClr val="windowText" lastClr="000000"/>
              </a:solidFill>
              <a:effectLst/>
              <a:latin typeface="+mn-lt"/>
              <a:ea typeface="+mn-ea"/>
              <a:cs typeface="+mn-cs"/>
            </a:rPr>
            <a:t>から検証済データを</a:t>
          </a:r>
          <a:r>
            <a:rPr kumimoji="1" lang="en-US" altLang="ja-JP" sz="900">
              <a:solidFill>
                <a:sysClr val="windowText" lastClr="000000"/>
              </a:solidFill>
              <a:effectLst/>
              <a:latin typeface="+mn-lt"/>
              <a:ea typeface="+mn-ea"/>
              <a:cs typeface="+mn-cs"/>
            </a:rPr>
            <a:t>production</a:t>
          </a:r>
          <a:r>
            <a:rPr kumimoji="1" lang="ja-JP" altLang="en-US" sz="900">
              <a:solidFill>
                <a:sysClr val="windowText" lastClr="000000"/>
              </a:solidFill>
              <a:effectLst/>
              <a:latin typeface="+mn-lt"/>
              <a:ea typeface="+mn-ea"/>
              <a:cs typeface="+mn-cs"/>
            </a:rPr>
            <a:t>スキーマのテーブルに反映する</a:t>
          </a:r>
          <a:endParaRPr kumimoji="1" lang="en-US" altLang="ja-JP" sz="900">
            <a:solidFill>
              <a:sysClr val="windowText" lastClr="000000"/>
            </a:solidFill>
            <a:effectLst/>
            <a:latin typeface="+mn-lt"/>
            <a:ea typeface="+mn-ea"/>
            <a:cs typeface="+mn-cs"/>
          </a:endParaRPr>
        </a:p>
      </xdr:txBody>
    </xdr:sp>
    <xdr:clientData/>
  </xdr:twoCellAnchor>
  <xdr:twoCellAnchor>
    <xdr:from>
      <xdr:col>6</xdr:col>
      <xdr:colOff>0</xdr:colOff>
      <xdr:row>8</xdr:row>
      <xdr:rowOff>0</xdr:rowOff>
    </xdr:from>
    <xdr:to>
      <xdr:col>8</xdr:col>
      <xdr:colOff>320040</xdr:colOff>
      <xdr:row>8</xdr:row>
      <xdr:rowOff>205740</xdr:rowOff>
    </xdr:to>
    <xdr:sp macro="" textlink="">
      <xdr:nvSpPr>
        <xdr:cNvPr id="398" name="正方形/長方形 397">
          <a:extLst>
            <a:ext uri="{FF2B5EF4-FFF2-40B4-BE49-F238E27FC236}">
              <a16:creationId xmlns:a16="http://schemas.microsoft.com/office/drawing/2014/main" id="{5D21B432-38B6-4756-ACE6-6A4D19C59EDC}"/>
            </a:ext>
          </a:extLst>
        </xdr:cNvPr>
        <xdr:cNvSpPr/>
      </xdr:nvSpPr>
      <xdr:spPr>
        <a:xfrm>
          <a:off x="4023360" y="914400"/>
          <a:ext cx="1661160" cy="20574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source_to_concept_map_f</a:t>
          </a:r>
          <a:endParaRPr kumimoji="1" lang="ja-JP" altLang="en-US" sz="1000"/>
        </a:p>
      </xdr:txBody>
    </xdr:sp>
    <xdr:clientData/>
  </xdr:twoCellAnchor>
  <xdr:twoCellAnchor>
    <xdr:from>
      <xdr:col>6</xdr:col>
      <xdr:colOff>0</xdr:colOff>
      <xdr:row>7</xdr:row>
      <xdr:rowOff>0</xdr:rowOff>
    </xdr:from>
    <xdr:to>
      <xdr:col>8</xdr:col>
      <xdr:colOff>320040</xdr:colOff>
      <xdr:row>7</xdr:row>
      <xdr:rowOff>205740</xdr:rowOff>
    </xdr:to>
    <xdr:sp macro="" textlink="">
      <xdr:nvSpPr>
        <xdr:cNvPr id="400" name="正方形/長方形 399">
          <a:extLst>
            <a:ext uri="{FF2B5EF4-FFF2-40B4-BE49-F238E27FC236}">
              <a16:creationId xmlns:a16="http://schemas.microsoft.com/office/drawing/2014/main" id="{DD2F0328-0D94-472B-8519-9012D2E54BCD}"/>
            </a:ext>
          </a:extLst>
        </xdr:cNvPr>
        <xdr:cNvSpPr/>
      </xdr:nvSpPr>
      <xdr:spPr>
        <a:xfrm>
          <a:off x="4023360" y="685800"/>
          <a:ext cx="1661160" cy="20574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person_f,</a:t>
          </a:r>
          <a:r>
            <a:rPr kumimoji="1" lang="en-US" altLang="ja-JP" sz="1000" baseline="0"/>
            <a:t> provider_f, ...</a:t>
          </a:r>
          <a:endParaRPr kumimoji="1" lang="ja-JP" altLang="en-US" sz="1000"/>
        </a:p>
      </xdr:txBody>
    </xdr:sp>
    <xdr:clientData/>
  </xdr:twoCellAnchor>
  <xdr:twoCellAnchor>
    <xdr:from>
      <xdr:col>6</xdr:col>
      <xdr:colOff>76200</xdr:colOff>
      <xdr:row>16</xdr:row>
      <xdr:rowOff>38100</xdr:rowOff>
    </xdr:from>
    <xdr:to>
      <xdr:col>7</xdr:col>
      <xdr:colOff>60960</xdr:colOff>
      <xdr:row>19</xdr:row>
      <xdr:rowOff>175260</xdr:rowOff>
    </xdr:to>
    <xdr:sp macro="" textlink="">
      <xdr:nvSpPr>
        <xdr:cNvPr id="401" name="矢印: 右 400">
          <a:extLst>
            <a:ext uri="{FF2B5EF4-FFF2-40B4-BE49-F238E27FC236}">
              <a16:creationId xmlns:a16="http://schemas.microsoft.com/office/drawing/2014/main" id="{B79444A4-546E-973F-685F-B7E342FD04E3}"/>
            </a:ext>
          </a:extLst>
        </xdr:cNvPr>
        <xdr:cNvSpPr/>
      </xdr:nvSpPr>
      <xdr:spPr>
        <a:xfrm>
          <a:off x="3710940" y="3063240"/>
          <a:ext cx="655320" cy="822960"/>
        </a:xfrm>
        <a:prstGeom prst="rightArrow">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205740</xdr:colOff>
      <xdr:row>16</xdr:row>
      <xdr:rowOff>38100</xdr:rowOff>
    </xdr:from>
    <xdr:to>
      <xdr:col>12</xdr:col>
      <xdr:colOff>190500</xdr:colOff>
      <xdr:row>19</xdr:row>
      <xdr:rowOff>175260</xdr:rowOff>
    </xdr:to>
    <xdr:sp macro="" textlink="">
      <xdr:nvSpPr>
        <xdr:cNvPr id="402" name="矢印: 右 401">
          <a:extLst>
            <a:ext uri="{FF2B5EF4-FFF2-40B4-BE49-F238E27FC236}">
              <a16:creationId xmlns:a16="http://schemas.microsoft.com/office/drawing/2014/main" id="{62D15091-D165-0AEF-A284-CACE0FFA7B8E}"/>
            </a:ext>
          </a:extLst>
        </xdr:cNvPr>
        <xdr:cNvSpPr/>
      </xdr:nvSpPr>
      <xdr:spPr>
        <a:xfrm>
          <a:off x="7193280" y="3063240"/>
          <a:ext cx="655320" cy="822960"/>
        </a:xfrm>
        <a:prstGeom prst="rightArrow">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495300</xdr:colOff>
      <xdr:row>16</xdr:row>
      <xdr:rowOff>38100</xdr:rowOff>
    </xdr:from>
    <xdr:to>
      <xdr:col>17</xdr:col>
      <xdr:colOff>480060</xdr:colOff>
      <xdr:row>19</xdr:row>
      <xdr:rowOff>175260</xdr:rowOff>
    </xdr:to>
    <xdr:sp macro="" textlink="">
      <xdr:nvSpPr>
        <xdr:cNvPr id="403" name="矢印: 右 402">
          <a:extLst>
            <a:ext uri="{FF2B5EF4-FFF2-40B4-BE49-F238E27FC236}">
              <a16:creationId xmlns:a16="http://schemas.microsoft.com/office/drawing/2014/main" id="{5D4C2E8F-D72A-74D0-EC88-5970BC29243C}"/>
            </a:ext>
          </a:extLst>
        </xdr:cNvPr>
        <xdr:cNvSpPr/>
      </xdr:nvSpPr>
      <xdr:spPr>
        <a:xfrm>
          <a:off x="10835640" y="3063240"/>
          <a:ext cx="655320" cy="822960"/>
        </a:xfrm>
        <a:prstGeom prst="rightArrow">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0</xdr:colOff>
      <xdr:row>8</xdr:row>
      <xdr:rowOff>0</xdr:rowOff>
    </xdr:from>
    <xdr:to>
      <xdr:col>4</xdr:col>
      <xdr:colOff>0</xdr:colOff>
      <xdr:row>8</xdr:row>
      <xdr:rowOff>205740</xdr:rowOff>
    </xdr:to>
    <xdr:sp macro="" textlink="">
      <xdr:nvSpPr>
        <xdr:cNvPr id="404" name="正方形/長方形 403">
          <a:extLst>
            <a:ext uri="{FF2B5EF4-FFF2-40B4-BE49-F238E27FC236}">
              <a16:creationId xmlns:a16="http://schemas.microsoft.com/office/drawing/2014/main" id="{B9E1D7E7-BBC0-4707-858B-E6DF44F71A46}"/>
            </a:ext>
          </a:extLst>
        </xdr:cNvPr>
        <xdr:cNvSpPr/>
      </xdr:nvSpPr>
      <xdr:spPr>
        <a:xfrm>
          <a:off x="952500" y="1882140"/>
          <a:ext cx="1341120" cy="205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Master Data</a:t>
          </a:r>
          <a:endParaRPr kumimoji="1" lang="ja-JP" altLang="en-US" sz="1000"/>
        </a:p>
      </xdr:txBody>
    </xdr:sp>
    <xdr:clientData/>
  </xdr:twoCellAnchor>
  <xdr:twoCellAnchor>
    <xdr:from>
      <xdr:col>4</xdr:col>
      <xdr:colOff>0</xdr:colOff>
      <xdr:row>6</xdr:row>
      <xdr:rowOff>102870</xdr:rowOff>
    </xdr:from>
    <xdr:to>
      <xdr:col>6</xdr:col>
      <xdr:colOff>0</xdr:colOff>
      <xdr:row>8</xdr:row>
      <xdr:rowOff>102870</xdr:rowOff>
    </xdr:to>
    <xdr:cxnSp macro="">
      <xdr:nvCxnSpPr>
        <xdr:cNvPr id="405" name="コネクタ: カギ線 404">
          <a:extLst>
            <a:ext uri="{FF2B5EF4-FFF2-40B4-BE49-F238E27FC236}">
              <a16:creationId xmlns:a16="http://schemas.microsoft.com/office/drawing/2014/main" id="{8CBB91FC-F4BE-4C68-86FD-E551A4E1C95E}"/>
            </a:ext>
          </a:extLst>
        </xdr:cNvPr>
        <xdr:cNvCxnSpPr>
          <a:cxnSpLocks/>
          <a:stCxn id="404" idx="3"/>
          <a:endCxn id="370" idx="1"/>
        </xdr:cNvCxnSpPr>
      </xdr:nvCxnSpPr>
      <xdr:spPr>
        <a:xfrm flipV="1">
          <a:off x="2293620" y="1527810"/>
          <a:ext cx="1341120" cy="457200"/>
        </a:xfrm>
        <a:prstGeom prst="bentConnector3">
          <a:avLst>
            <a:gd name="adj1" fmla="val 31818"/>
          </a:avLst>
        </a:prstGeom>
        <a:ln>
          <a:solidFill>
            <a:sysClr val="windowText" lastClr="000000"/>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320040</xdr:colOff>
      <xdr:row>6</xdr:row>
      <xdr:rowOff>102870</xdr:rowOff>
    </xdr:from>
    <xdr:to>
      <xdr:col>10</xdr:col>
      <xdr:colOff>0</xdr:colOff>
      <xdr:row>7</xdr:row>
      <xdr:rowOff>102870</xdr:rowOff>
    </xdr:to>
    <xdr:cxnSp macro="">
      <xdr:nvCxnSpPr>
        <xdr:cNvPr id="409" name="コネクタ: カギ線 408">
          <a:extLst>
            <a:ext uri="{FF2B5EF4-FFF2-40B4-BE49-F238E27FC236}">
              <a16:creationId xmlns:a16="http://schemas.microsoft.com/office/drawing/2014/main" id="{5C666093-55D4-431E-94D6-565D486FE69C}"/>
            </a:ext>
          </a:extLst>
        </xdr:cNvPr>
        <xdr:cNvCxnSpPr>
          <a:cxnSpLocks/>
          <a:stCxn id="400" idx="3"/>
          <a:endCxn id="371" idx="1"/>
        </xdr:cNvCxnSpPr>
      </xdr:nvCxnSpPr>
      <xdr:spPr>
        <a:xfrm flipV="1">
          <a:off x="5295900" y="1527810"/>
          <a:ext cx="1021080" cy="228600"/>
        </a:xfrm>
        <a:prstGeom prst="bentConnector3">
          <a:avLst>
            <a:gd name="adj1" fmla="val 50000"/>
          </a:avLst>
        </a:prstGeom>
        <a:ln>
          <a:solidFill>
            <a:sysClr val="windowText" lastClr="000000"/>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320040</xdr:colOff>
      <xdr:row>6</xdr:row>
      <xdr:rowOff>102870</xdr:rowOff>
    </xdr:from>
    <xdr:to>
      <xdr:col>10</xdr:col>
      <xdr:colOff>0</xdr:colOff>
      <xdr:row>8</xdr:row>
      <xdr:rowOff>102870</xdr:rowOff>
    </xdr:to>
    <xdr:cxnSp macro="">
      <xdr:nvCxnSpPr>
        <xdr:cNvPr id="412" name="コネクタ: カギ線 411">
          <a:extLst>
            <a:ext uri="{FF2B5EF4-FFF2-40B4-BE49-F238E27FC236}">
              <a16:creationId xmlns:a16="http://schemas.microsoft.com/office/drawing/2014/main" id="{904150BA-AE0C-4F6E-811D-A82494936FA9}"/>
            </a:ext>
          </a:extLst>
        </xdr:cNvPr>
        <xdr:cNvCxnSpPr>
          <a:cxnSpLocks/>
          <a:stCxn id="398" idx="3"/>
          <a:endCxn id="371" idx="1"/>
        </xdr:cNvCxnSpPr>
      </xdr:nvCxnSpPr>
      <xdr:spPr>
        <a:xfrm flipV="1">
          <a:off x="5295900" y="1527810"/>
          <a:ext cx="1021080" cy="457200"/>
        </a:xfrm>
        <a:prstGeom prst="bentConnector3">
          <a:avLst>
            <a:gd name="adj1" fmla="val 50000"/>
          </a:avLst>
        </a:prstGeom>
        <a:ln>
          <a:solidFill>
            <a:sysClr val="windowText" lastClr="000000"/>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320040</xdr:colOff>
      <xdr:row>6</xdr:row>
      <xdr:rowOff>102870</xdr:rowOff>
    </xdr:from>
    <xdr:to>
      <xdr:col>10</xdr:col>
      <xdr:colOff>0</xdr:colOff>
      <xdr:row>9</xdr:row>
      <xdr:rowOff>102870</xdr:rowOff>
    </xdr:to>
    <xdr:cxnSp macro="">
      <xdr:nvCxnSpPr>
        <xdr:cNvPr id="415" name="コネクタ: カギ線 414">
          <a:extLst>
            <a:ext uri="{FF2B5EF4-FFF2-40B4-BE49-F238E27FC236}">
              <a16:creationId xmlns:a16="http://schemas.microsoft.com/office/drawing/2014/main" id="{2261C96B-2CA8-4927-9E25-C5104FE85B33}"/>
            </a:ext>
          </a:extLst>
        </xdr:cNvPr>
        <xdr:cNvCxnSpPr>
          <a:cxnSpLocks/>
          <a:stCxn id="418" idx="3"/>
          <a:endCxn id="371" idx="1"/>
        </xdr:cNvCxnSpPr>
      </xdr:nvCxnSpPr>
      <xdr:spPr>
        <a:xfrm flipV="1">
          <a:off x="5295900" y="1527810"/>
          <a:ext cx="1021080" cy="685800"/>
        </a:xfrm>
        <a:prstGeom prst="bentConnector3">
          <a:avLst>
            <a:gd name="adj1" fmla="val 50000"/>
          </a:avLst>
        </a:prstGeom>
        <a:ln>
          <a:solidFill>
            <a:sysClr val="windowText" lastClr="000000"/>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0</xdr:colOff>
      <xdr:row>9</xdr:row>
      <xdr:rowOff>0</xdr:rowOff>
    </xdr:from>
    <xdr:to>
      <xdr:col>8</xdr:col>
      <xdr:colOff>320040</xdr:colOff>
      <xdr:row>9</xdr:row>
      <xdr:rowOff>205740</xdr:rowOff>
    </xdr:to>
    <xdr:sp macro="" textlink="">
      <xdr:nvSpPr>
        <xdr:cNvPr id="418" name="正方形/長方形 417">
          <a:extLst>
            <a:ext uri="{FF2B5EF4-FFF2-40B4-BE49-F238E27FC236}">
              <a16:creationId xmlns:a16="http://schemas.microsoft.com/office/drawing/2014/main" id="{8E9B7CF7-6323-4230-96F4-2BBA31A9AE67}"/>
            </a:ext>
          </a:extLst>
        </xdr:cNvPr>
        <xdr:cNvSpPr/>
      </xdr:nvSpPr>
      <xdr:spPr>
        <a:xfrm>
          <a:off x="3634740" y="2110740"/>
          <a:ext cx="1661160" cy="20574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a:t>concept_f</a:t>
          </a:r>
          <a:endParaRPr kumimoji="1" lang="ja-JP" altLang="en-US" sz="10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72</xdr:row>
      <xdr:rowOff>0</xdr:rowOff>
    </xdr:from>
    <xdr:to>
      <xdr:col>7</xdr:col>
      <xdr:colOff>816182</xdr:colOff>
      <xdr:row>108</xdr:row>
      <xdr:rowOff>182149</xdr:rowOff>
    </xdr:to>
    <xdr:pic>
      <xdr:nvPicPr>
        <xdr:cNvPr id="4" name="図 3">
          <a:extLst>
            <a:ext uri="{FF2B5EF4-FFF2-40B4-BE49-F238E27FC236}">
              <a16:creationId xmlns:a16="http://schemas.microsoft.com/office/drawing/2014/main" id="{503258BA-AA46-3556-7DF8-F385120C786E}"/>
            </a:ext>
          </a:extLst>
        </xdr:cNvPr>
        <xdr:cNvPicPr>
          <a:picLocks noChangeAspect="1"/>
        </xdr:cNvPicPr>
      </xdr:nvPicPr>
      <xdr:blipFill>
        <a:blip xmlns:r="http://schemas.openxmlformats.org/officeDocument/2006/relationships" r:embed="rId1"/>
        <a:stretch>
          <a:fillRect/>
        </a:stretch>
      </xdr:blipFill>
      <xdr:spPr>
        <a:xfrm>
          <a:off x="0" y="24231600"/>
          <a:ext cx="14480021" cy="841174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534392</xdr:colOff>
      <xdr:row>39</xdr:row>
      <xdr:rowOff>20297</xdr:rowOff>
    </xdr:to>
    <xdr:pic>
      <xdr:nvPicPr>
        <xdr:cNvPr id="2" name="図 1">
          <a:extLst>
            <a:ext uri="{FF2B5EF4-FFF2-40B4-BE49-F238E27FC236}">
              <a16:creationId xmlns:a16="http://schemas.microsoft.com/office/drawing/2014/main" id="{32AD90EC-F5C9-8A88-1B8E-CDCEF9CCF06C}"/>
            </a:ext>
          </a:extLst>
        </xdr:cNvPr>
        <xdr:cNvPicPr>
          <a:picLocks noChangeAspect="1"/>
        </xdr:cNvPicPr>
      </xdr:nvPicPr>
      <xdr:blipFill>
        <a:blip xmlns:r="http://schemas.openxmlformats.org/officeDocument/2006/relationships" r:embed="rId1"/>
        <a:stretch>
          <a:fillRect/>
        </a:stretch>
      </xdr:blipFill>
      <xdr:spPr>
        <a:xfrm>
          <a:off x="0" y="0"/>
          <a:ext cx="7106642" cy="893569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psq001\sonybank\Documents%20and%20Settings\kawana.OHSAKI\My%20Documents\&#20316;&#26989;&#20013;\DB&#65288;CT&#6528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vrep001\fh21&#20849;&#26377;\FH21&#24773;&#22577;&#31995;Work\&#9679;00&#20840;&#20307;&#36039;&#26009;\30&#9679;&#27161;&#28310;&#21270;\200009&#65397;&#65392;&#65420;&#65439;&#65437;&#31995;&#65288;&#34701;&#36039;&#27161;&#28310;&#65289;\&#20849;&#21516;&#21270;&#65339;&#21475;&#24231;&#25391;&#26367;&#65341;\&#65436;&#65392;&#65400;&#65435;&#65392;&#65412;&#65438;\&#65334;&#65314;&#35201;&#20214;&#23450;&#32681;&#25104;&#26524;&#2928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Yellow\SDAS&#25512;&#36914;&#23460;\temp\03&#38283;&#30330;&#27161;&#28310;\01&#27161;&#28310;&#12489;&#12461;&#12517;&#12513;&#12531;&#12488;\02&#12489;&#12461;&#12517;&#12513;&#12531;&#12488;&#12501;&#12457;&#12540;&#12510;&#12483;&#12488;\PT&#23436;&#20102;&#22577;&#21578;&#26360;&#20860;&#21697;&#36074;&#38598;&#35336;&#12471;&#12540;&#12488;(&#12501;&#12457;&#12540;&#12510;&#12483;&#12488;).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vrep001\fh21&#20849;&#26377;\&#20849;&#29992;\Tashiro\&#25285;&#20445;&#38306;&#36899;&#36039;&#26009;\&#36039;&#26009;\&#65316;&#65314;&#20181;&#27096;&#26360;\&#12486;&#12540;&#12502;&#12523;&#35373;&#35336;&#65288;&#25285;&#20445;&#31649;&#29702;&#6528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VDT132\&#20849;&#21516;&#21270;&#21475;&#25391;\2&#35201;&#20214;&#23450;&#32681;\3&#21475;&#25391;&#35201;&#20214;&#23450;&#32681;&#26360;&#65288;&#27010;&#35201;&#29256;&#65289;\2.2&#23550;&#35937;&#27231;&#3302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VDT132\&#20849;&#21516;&#21270;&#21475;&#25391;\&#20849;&#21516;&#21270;&#65339;&#21475;&#24231;&#25391;&#26367;&#65341;\&#65436;&#65392;&#65400;&#65435;&#65392;&#65412;&#65438;\&#65334;&#65314;&#35201;&#20214;&#23450;&#32681;&#25104;&#26524;&#2928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OEMCOMPUTER\sekine\TEMP\Tashiro\&#25285;&#20445;&#38306;&#36899;&#36039;&#26009;\&#36039;&#26009;\&#65316;&#65314;&#20181;&#27096;&#26360;\&#12486;&#12540;&#12502;&#12523;&#35373;&#35336;&#65288;&#25285;&#20445;&#31649;&#29702;&#6528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01-VDIY14VNR1A\UserData-Y\Users\s016592\Documents\ForthPublicSystem\DP\201708\20170830\Users\NOM011\Desktop\&#12501;&#12449;&#12452;&#12523;&#25552;&#20379;&#24418;&#24335;(&#21442;&#29031;)_201502091536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現行DB一覧1"/>
      <sheetName val="現行DB一覧2(CT)"/>
      <sheetName val="Sheet1"/>
      <sheetName val="Sheet4"/>
      <sheetName val="Sheet2"/>
      <sheetName val="Sheet3"/>
      <sheetName val="現行DB一覧2_CT_"/>
      <sheetName val="テストパターン一覧"/>
      <sheetName val="メッセージ文言取込(Web21TOP)"/>
      <sheetName val="メッセージ文言取込(総合振込)"/>
      <sheetName val="メッセージ文言取込(給与・賞与振込)"/>
      <sheetName val="メッセージ文言取込(取引口座照会)"/>
      <sheetName val="メッセージ文言取込(個人地方税)"/>
      <sheetName val="メッセージ文言取込(振込振替)"/>
      <sheetName val="メッセージ文言取込(口座情報・事前設定)"/>
      <sheetName val="メッセージ文言取込(セキュリティ管理)"/>
      <sheetName val="マスタデータ（DB格納用）"/>
      <sheetName val="SDB(1)"/>
      <sheetName val="提示用医科薬剤作表用ｙ-flag"/>
      <sheetName val="設定"/>
      <sheetName val="CONFIG"/>
      <sheetName val="ﾍﾞｰｽ"/>
      <sheetName val="はじめに"/>
      <sheetName val="一覧表"/>
      <sheetName val="法1"/>
      <sheetName val="法2"/>
      <sheetName val="法3"/>
      <sheetName val="法4"/>
      <sheetName val="法5"/>
      <sheetName val="法6"/>
      <sheetName val="法7"/>
      <sheetName val="法8"/>
      <sheetName val="法9"/>
      <sheetName val="学1"/>
      <sheetName val="学2"/>
      <sheetName val="学3"/>
      <sheetName val="学4"/>
      <sheetName val="学5"/>
      <sheetName val="学6"/>
      <sheetName val="学7"/>
      <sheetName val="学8"/>
      <sheetName val="学9"/>
      <sheetName val="学10"/>
      <sheetName val="system-hojin-kikan"/>
      <sheetName val="system-gakno-kikan"/>
      <sheetName val="ルール表"/>
      <sheetName val="概算見積書"/>
      <sheetName val="パラメタ"/>
      <sheetName val="設定値"/>
      <sheetName val="設定シート"/>
      <sheetName val="表紙"/>
      <sheetName val="修正履歴"/>
      <sheetName val="ＰＴ障害管理台帳"/>
      <sheetName val="説明資料"/>
      <sheetName val="原因分類管理シート"/>
      <sheetName val="コメント選択肢"/>
      <sheetName val="LIST"/>
      <sheetName val="マスタ"/>
      <sheetName val="9.ﾄﾞｷｭﾒﾝﾄ(記入）"/>
      <sheetName val="テンプレート"/>
      <sheetName val="原因分類"/>
      <sheetName val="リスト"/>
      <sheetName val="プルダウン参照"/>
      <sheetName val="法©"/>
      <sheetName val="別紙1_作業分類"/>
      <sheetName val="MST"/>
      <sheetName val="DB（CT）"/>
      <sheetName val="Ｓ級職sheet"/>
      <sheetName val="印刷不要）対応難易度の定義"/>
      <sheetName val="リソース"/>
      <sheetName val="学ǘ"/>
      <sheetName val="基準テーブル（変更不可）"/>
      <sheetName val="コード表"/>
      <sheetName val="原因サブ・機能"/>
      <sheetName val="工程・タスク定義"/>
      <sheetName val="障害区分・種別"/>
      <sheetName val="件数"/>
      <sheetName val="機器マスタ"/>
      <sheetName val="101表紙"/>
      <sheetName val="102改版履歴"/>
      <sheetName val="103依頼事項"/>
      <sheetName val="104詳細スケジュール"/>
      <sheetName val="105_フロアレイアウト図"/>
      <sheetName val="106ネットワーク図"/>
      <sheetName val="107回線一覧"/>
      <sheetName val="201_サーバ構成"/>
      <sheetName val="202_導入機器一覧(設置諸元)"/>
      <sheetName val="203_ハード・ソフト構成一覧表"/>
      <sheetName val="205_電源接続図(手書き)"/>
      <sheetName val="206_工事全配線表（○UTPFC電源_手書き） (その他)"/>
      <sheetName val="206_工事全配線表(●電源)"/>
      <sheetName val="204_ラック搭載図 (B棟C43) "/>
      <sheetName val="204_ラック搭載図 (3F)"/>
      <sheetName val="ノードマスタ"/>
      <sheetName val="上期"/>
      <sheetName val="ヘッダ"/>
      <sheetName val="不具合分析グラフ"/>
      <sheetName val="コンソール接続"/>
      <sheetName val="ハードウェアリスト"/>
      <sheetName val="ＦＢ外為データ項目一覧"/>
      <sheetName val="SK"/>
      <sheetName val="ＴＫＣ"/>
      <sheetName val="#REF"/>
      <sheetName val="AS計算テーブル"/>
      <sheetName val="総合件数一覧"/>
      <sheetName val="運用ルール"/>
      <sheetName val="メール宛先"/>
      <sheetName val="対象システムリスト"/>
      <sheetName val="金融機関別"/>
      <sheetName val="ｺﾞﾝﾍﾟﾙﾂ曲線"/>
      <sheetName val="原紙２"/>
      <sheetName val="Webダウン取引仕様"/>
      <sheetName val="Summary"/>
      <sheetName val="施設作業（単価表）"/>
      <sheetName val="リスト一覧"/>
      <sheetName val="拠点コード一覧"/>
      <sheetName val="入力規則"/>
      <sheetName val="プルダウン"/>
      <sheetName val="選択肢"/>
      <sheetName val="2019年度区分コード表"/>
      <sheetName val="申請マスタ"/>
      <sheetName val="命名規約"/>
      <sheetName val="命名規約・I列記載ルール"/>
      <sheetName val="命名規約・記載ルール"/>
      <sheetName val="分類"/>
      <sheetName val="見積"/>
      <sheetName val="リスト(消さないでください）"/>
      <sheetName val="Profile"/>
      <sheetName val="区分"/>
      <sheetName val="リスト内容"/>
      <sheetName val="【リスト内容】"/>
      <sheetName val="更新履歴"/>
      <sheetName val="チェックシート（機能単位）"/>
      <sheetName val="チェックシート（テーブル単位_複数の場合はシートコピー）"/>
      <sheetName val="申請マスタ (2)"/>
      <sheetName val="第四階層設定"/>
      <sheetName val="WORK"/>
      <sheetName val="B.インフラ構築プロジェクト対応（WorkOrder）_管理表"/>
      <sheetName val="1.テスト項目一覧"/>
      <sheetName val="項目マスタシート"/>
      <sheetName val="201603"/>
      <sheetName val="201602"/>
      <sheetName val="201601"/>
      <sheetName val="201512"/>
      <sheetName val="201511"/>
      <sheetName val="201510"/>
      <sheetName val="201509"/>
      <sheetName val="201508"/>
      <sheetName val="201507"/>
      <sheetName val="201506"/>
      <sheetName val="201505"/>
      <sheetName val="201504"/>
      <sheetName val="HW業者との役務分担"/>
      <sheetName val="データ"/>
      <sheetName val="予算消化状況"/>
      <sheetName val="環境設定"/>
      <sheetName val="CQ台帳"/>
      <sheetName val="tmp"/>
      <sheetName val="資料用作図２"/>
      <sheetName val="【元ねた】Ⅰ年間計画書"/>
      <sheetName val="資料（テレホン）"/>
      <sheetName val="分類説明"/>
      <sheetName val="分析６"/>
      <sheetName val="担当者リスト・大分類リスト"/>
      <sheetName val="ヘッジ比率(月次)"/>
      <sheetName val="管理情報"/>
      <sheetName val="業務区分"/>
      <sheetName val="原因分類_不具合内容"/>
      <sheetName val="処理種別"/>
      <sheetName val="原因工程"/>
      <sheetName val="課題・リスク把握経路"/>
      <sheetName val="リスク分類"/>
      <sheetName val="品目発生源グループ"/>
      <sheetName val="プラント"/>
      <sheetName val="保管場所"/>
      <sheetName val="外部品目グループ"/>
      <sheetName val="研究室・設計室"/>
      <sheetName val="利益センタ"/>
      <sheetName val="機器設置申請書入力規制項目（裏リスト）"/>
      <sheetName val="区分値"/>
      <sheetName val="記述要領"/>
      <sheetName val="日付ﾃｰﾌﾞﾙ"/>
      <sheetName val="参照"/>
      <sheetName val="※指摘率（参考値）"/>
      <sheetName val="概念テーブル一覧(Table List)"/>
      <sheetName val="総括表貼付"/>
      <sheetName val="累積データ"/>
      <sheetName val="営業会議1604"/>
      <sheetName val="名称マスタ"/>
      <sheetName val="問合せ一覧"/>
      <sheetName val="条件"/>
      <sheetName val="サマリ"/>
      <sheetName val="単票"/>
      <sheetName val="原因区分"/>
      <sheetName val="サンプル(原因分類)"/>
      <sheetName val="ステータス"/>
      <sheetName val="1"/>
      <sheetName val="2"/>
      <sheetName val="3"/>
      <sheetName val="7"/>
      <sheetName val="テンプレート名リスト"/>
      <sheetName val="ステータスと記載運用"/>
      <sheetName val="各種データ"/>
      <sheetName val="ﾚｰﾀﾞｰﾁｬｰﾄ計算用"/>
      <sheetName val="計画ﾚｰﾀﾞｰﾁｬｰﾄ計算用"/>
      <sheetName val="ジャーナル番号一覧"/>
      <sheetName val="凡例"/>
      <sheetName val="コード定義"/>
      <sheetName val="TB"/>
      <sheetName val="選択"/>
      <sheetName val="払出済みLCP_価格表"/>
      <sheetName val="RFS"/>
      <sheetName val="通報パターン表"/>
      <sheetName val="プロファイル"/>
      <sheetName val="入力補助"/>
      <sheetName val="ＤＢ"/>
      <sheetName val="ﾃﾚﾊﾞﾝRTGS共用"/>
      <sheetName val="(別紙属性名一覧)"/>
      <sheetName val="6"/>
      <sheetName val="JobNet定義"/>
      <sheetName val="勘定系ｵﾝﾗｲﾝ性能"/>
      <sheetName val="ＣＤＵＴ局面報告シート"/>
      <sheetName val="申請"/>
      <sheetName val="A01"/>
      <sheetName val="Sheet6"/>
      <sheetName val="メイン"/>
      <sheetName val="所管別１"/>
      <sheetName val="PR"/>
      <sheetName val="見積額計算表"/>
      <sheetName val="item"/>
      <sheetName val="基本システム"/>
      <sheetName val="概要"/>
      <sheetName val="リスト項目"/>
      <sheetName val="名称ﾏｽﾀ"/>
      <sheetName val="画面項目仕様 (ph2_org)"/>
      <sheetName val="画面項目仕様 (ph1)"/>
      <sheetName val="使い方"/>
      <sheetName val="【雛型】"/>
      <sheetName val="次期システム（受託）"/>
      <sheetName val="プルダウンリスト候補"/>
      <sheetName val="要因分析"/>
      <sheetName val="定義情報"/>
      <sheetName val="処理詳細内容表"/>
      <sheetName val="４．レイアウト・記入要領"/>
      <sheetName val="御見積"/>
      <sheetName val="プルダウン選択候補定義"/>
      <sheetName val="見積連絡表"/>
      <sheetName val="用語定義(ドロップダウンリスト)"/>
      <sheetName val="ライセンスの種類"/>
      <sheetName val="入力一覧"/>
      <sheetName val="初期表示"/>
      <sheetName val="検索"/>
      <sheetName val="承認"/>
      <sheetName val="帳票NOアンカー"/>
      <sheetName val="頁ジャンプ"/>
      <sheetName val="JS"/>
      <sheetName val="補足"/>
      <sheetName val="補足２"/>
      <sheetName val="コード類"/>
      <sheetName val="リストボックス"/>
      <sheetName val="データ類"/>
      <sheetName val="社員リスト"/>
      <sheetName val="parameters"/>
      <sheetName val="レコード一覧"/>
      <sheetName val="削除不可"/>
      <sheetName val="★リスト★"/>
      <sheetName val="ステータス名"/>
      <sheetName val="構成リスト"/>
      <sheetName val="m_master"/>
      <sheetName val="チーム名一覧"/>
      <sheetName val="件数集計"/>
      <sheetName val="_"/>
      <sheetName val="店舗展開ｽｹｼﾞｭｰﾙ"/>
      <sheetName val="店舗機器一覧"/>
      <sheetName val="４処理概要（添付）"/>
      <sheetName val="システムコード一覧"/>
      <sheetName val="リンクシート"/>
      <sheetName val="テスト結果報告書（単体試験）"/>
      <sheetName val="TDC"/>
      <sheetName val="EXA"/>
      <sheetName val="補足資料_進捗_リスト"/>
      <sheetName val="項目"/>
      <sheetName val="付録1. サーバ共通情報"/>
      <sheetName val="入力候補"/>
      <sheetName val="画面レイアウト"/>
      <sheetName val="Pivot"/>
      <sheetName val="基本情報"/>
      <sheetName val="マスター"/>
      <sheetName val="画面項目詳細"/>
      <sheetName val="ハードウェア一覧"/>
      <sheetName val="障害票の項目と値"/>
      <sheetName val="プルダウンリスト"/>
      <sheetName val="プルダウン用"/>
      <sheetName val="わーく"/>
      <sheetName val="参考_一覧1018版"/>
      <sheetName val="システム一覧"/>
      <sheetName val="各種設定"/>
      <sheetName val="ｽﾌﾟﾚｯﾄﾞﾌﾟﾛｾｽ管理表"/>
      <sheetName val="テスト概要"/>
      <sheetName val="取引ID検索"/>
      <sheetName val="検索結果"/>
      <sheetName val="画面一覧データ"/>
      <sheetName val="default"/>
      <sheetName val="データ辞書"/>
      <sheetName val="メッセージ文言取込(給与・賞与振込_x0000_"/>
      <sheetName val="data"/>
      <sheetName val="DAT"/>
      <sheetName val="選択値"/>
      <sheetName val="分類コード"/>
      <sheetName val="目次"/>
      <sheetName val="2_1"/>
      <sheetName val="2_6"/>
      <sheetName val="記述ﾙｰﾙ"/>
      <sheetName val="2_3"/>
      <sheetName val="2_4"/>
      <sheetName val="2_5"/>
      <sheetName val="ダイアログ"/>
      <sheetName val="画面種別"/>
      <sheetName val="サポート台帳分類マスタ"/>
      <sheetName val="2‐3_タスク_SIEMアラート（編集中"/>
      <sheetName val="図（２）印刷不要"/>
      <sheetName val="対象PG分類項目"/>
      <sheetName val="ワーク"/>
      <sheetName val="TABLES"/>
      <sheetName val="A3 Resource Plan by Person"/>
      <sheetName val="学ċ"/>
      <sheetName val="データリスト"/>
      <sheetName val="memo"/>
      <sheetName val="栄子ｼｰﾄ"/>
      <sheetName val="受領一覧"/>
      <sheetName val="disc_class_lvl"/>
      <sheetName val="品目一覧"/>
      <sheetName val="報告種類・情報源・調査区分"/>
      <sheetName val="患者情報"/>
      <sheetName val="マスタリスト"/>
      <sheetName val="スケジュール"/>
      <sheetName val="担当者一覧"/>
      <sheetName val="標準工程"/>
      <sheetName val="管理台帳"/>
      <sheetName val="１．４．１．仮想基盤サーバ (編集用)"/>
      <sheetName val="１．４．３．バックアップサーバ  (編集用)"/>
      <sheetName val="１．４．４．ADサーバ (編集用)"/>
      <sheetName val="データシート"/>
      <sheetName val="◇選択分類"/>
      <sheetName val="テストケース"/>
      <sheetName val="テスト項目(IT1-0110013-01)"/>
      <sheetName val="テスト項目(IT1-0110013-02)"/>
      <sheetName val="2015年1月度移管対象 (チェック結果)"/>
      <sheetName val="リスト用"/>
      <sheetName val="千葉ITﾃﾞｰﾀ"/>
      <sheetName val="ACTION"/>
      <sheetName val="選択リスト"/>
      <sheetName val="リスト１"/>
      <sheetName val="ホストインタフェース設定表 (FC-CA) "/>
      <sheetName val="ドロップダウンリスト"/>
      <sheetName val="PUT工数"/>
      <sheetName val="大連作成"/>
      <sheetName val="画面一覧_古い"/>
      <sheetName val="画面一覧"/>
      <sheetName val="対象一覧"/>
      <sheetName val="資料"/>
      <sheetName val="【ノード名確定】ラック図_Nifty提示"/>
      <sheetName val="ラック図_修正20151026"/>
      <sheetName val="206_工事全配線表（サーバーとNW)_20host"/>
      <sheetName val="ラック図_Nifty提示"/>
      <sheetName val="206_工事全配線表（サーバーとNW)_30host(増設時"/>
      <sheetName val="作業依頼兼連絡票"/>
      <sheetName val="部門一覧"/>
      <sheetName val="start"/>
      <sheetName val="記入ルール"/>
      <sheetName val="製品データベース"/>
      <sheetName val="名称"/>
      <sheetName val="基礎データ定義"/>
      <sheetName val="伝送ﾌｧｲﾙ一覧(最新)"/>
      <sheetName val="入力項目"/>
      <sheetName val="(機能一覧)"/>
      <sheetName val="不具合原因"/>
      <sheetName val="入力マスタ"/>
      <sheetName val="基本タリフ種類"/>
      <sheetName val="割増タリフ種類"/>
      <sheetName val="タリフ参照時に使用する項目"/>
      <sheetName val="画面レイアウト "/>
      <sheetName val="画面レイアウト (子画面)"/>
      <sheetName val="２．２　ＳＶＦ実行環境（ファイル書式定義）"/>
      <sheetName val="リストシート"/>
      <sheetName val="リスト(非表示化)"/>
      <sheetName val="work02"/>
      <sheetName val="計画個数"/>
      <sheetName val="修正版マスタ"/>
      <sheetName val="共通マスタ"/>
      <sheetName val="統合マスタ"/>
      <sheetName val="銀行情報入力"/>
      <sheetName val="参照用シート"/>
      <sheetName val="9_ﾄﾞｷｭﾒﾝﾄ(記入）"/>
      <sheetName val="206_工事全配線表（○UTPFC電源_手書き）_(その他)"/>
      <sheetName val="204_ラック搭載図_(B棟C43)_"/>
      <sheetName val="204_ラック搭載図_(3F)"/>
      <sheetName val="(6)E.5 EDC Shopping"/>
      <sheetName val="開発規模"/>
      <sheetName val="【参考】プルダウンリスト"/>
      <sheetName val="9_ﾄﾞｷｭﾒﾝﾄ(記入）1"/>
      <sheetName val="期末ﾚｰﾄ_20170331"/>
      <sheetName val="開発"/>
      <sheetName val="HW･SW"/>
      <sheetName val="リスト値"/>
      <sheetName val="設定2"/>
      <sheetName val="ソース"/>
      <sheetName val="financial analysis"/>
      <sheetName val="【別紙２】店舗マスタ"/>
      <sheetName val="【1-5】管理者画面基本設定"/>
    </sheetNames>
    <sheetDataSet>
      <sheetData sheetId="0">
        <row r="2">
          <cell r="A2" t="str">
            <v>EMAIL</v>
          </cell>
        </row>
      </sheetData>
      <sheetData sheetId="1" refreshError="1">
        <row r="2">
          <cell r="A2" t="str">
            <v>EMAIL</v>
          </cell>
          <cell r="B2" t="str">
            <v>CT受託銀行</v>
          </cell>
          <cell r="C2" t="str">
            <v>CTMMF分配金計算</v>
          </cell>
          <cell r="D2" t="str">
            <v>varchar</v>
          </cell>
          <cell r="E2">
            <v>100</v>
          </cell>
        </row>
        <row r="3">
          <cell r="A3" t="str">
            <v>EMAIL</v>
          </cell>
          <cell r="B3" t="str">
            <v>CT投信会社</v>
          </cell>
          <cell r="C3" t="str">
            <v>CTMMF分配金計算</v>
          </cell>
          <cell r="D3" t="str">
            <v>varchar</v>
          </cell>
          <cell r="E3">
            <v>100</v>
          </cell>
        </row>
        <row r="4">
          <cell r="A4" t="str">
            <v>EMAIL2</v>
          </cell>
          <cell r="B4" t="str">
            <v>CT受託銀行</v>
          </cell>
          <cell r="C4" t="str">
            <v>CT買戻し対象</v>
          </cell>
          <cell r="D4" t="str">
            <v>varchar</v>
          </cell>
          <cell r="E4">
            <v>100</v>
          </cell>
        </row>
        <row r="5">
          <cell r="A5" t="str">
            <v>FAX番号</v>
          </cell>
          <cell r="B5" t="str">
            <v>CT支店</v>
          </cell>
          <cell r="C5" t="str">
            <v>CT買戻し対象</v>
          </cell>
          <cell r="D5" t="str">
            <v>varchar</v>
          </cell>
          <cell r="E5">
            <v>20</v>
          </cell>
        </row>
        <row r="6">
          <cell r="A6" t="str">
            <v>FAX番号</v>
          </cell>
          <cell r="B6" t="str">
            <v>CT受託銀行</v>
          </cell>
          <cell r="C6" t="str">
            <v>CT為替レート登録区分</v>
          </cell>
          <cell r="D6" t="str">
            <v>varchar</v>
          </cell>
          <cell r="E6">
            <v>20</v>
          </cell>
        </row>
        <row r="7">
          <cell r="A7" t="str">
            <v>FAX番号</v>
          </cell>
          <cell r="B7" t="str">
            <v>CT投信会社</v>
          </cell>
          <cell r="C7" t="str">
            <v>CT為替レート登録区分</v>
          </cell>
          <cell r="D7" t="str">
            <v>varchar</v>
          </cell>
          <cell r="E7">
            <v>20</v>
          </cell>
        </row>
        <row r="8">
          <cell r="A8" t="str">
            <v>FAX番号2</v>
          </cell>
          <cell r="B8" t="str">
            <v>CT受託銀行</v>
          </cell>
          <cell r="C8" t="str">
            <v>CT管理会社</v>
          </cell>
          <cell r="D8" t="str">
            <v>varchar</v>
          </cell>
          <cell r="E8">
            <v>20</v>
          </cell>
        </row>
        <row r="9">
          <cell r="A9" t="str">
            <v>FD種類</v>
          </cell>
          <cell r="B9" t="str">
            <v>CT出金FD</v>
          </cell>
          <cell r="C9" t="str">
            <v>CT管理会社</v>
          </cell>
          <cell r="D9" t="str">
            <v>varchar</v>
          </cell>
          <cell r="E9">
            <v>20</v>
          </cell>
        </row>
        <row r="10">
          <cell r="A10" t="str">
            <v>MMF買戻し対象区分</v>
          </cell>
          <cell r="B10" t="str">
            <v>CT買戻し対象</v>
          </cell>
          <cell r="C10" t="str">
            <v>○</v>
          </cell>
          <cell r="D10" t="str">
            <v>varchar</v>
          </cell>
          <cell r="E10">
            <v>2</v>
          </cell>
        </row>
        <row r="11">
          <cell r="A11" t="str">
            <v>MMF分配金計算区分</v>
          </cell>
          <cell r="B11" t="str">
            <v>CTMMF分配金計算</v>
          </cell>
          <cell r="C11" t="str">
            <v>CT決済区分</v>
          </cell>
          <cell r="D11" t="str">
            <v>varchar</v>
          </cell>
          <cell r="E11">
            <v>20</v>
          </cell>
        </row>
        <row r="12">
          <cell r="A12" t="str">
            <v>OLE社印</v>
          </cell>
          <cell r="B12" t="str">
            <v>CTユーザ会社名</v>
          </cell>
          <cell r="C12" t="str">
            <v>CTシステムコード</v>
          </cell>
          <cell r="D12" t="str">
            <v>image</v>
          </cell>
          <cell r="E12">
            <v>7</v>
          </cell>
        </row>
        <row r="13">
          <cell r="A13" t="str">
            <v>OLE社名</v>
          </cell>
          <cell r="B13" t="str">
            <v>CTユーザ会社名</v>
          </cell>
          <cell r="C13" t="str">
            <v>CTシステムコード</v>
          </cell>
          <cell r="D13" t="str">
            <v>image</v>
          </cell>
          <cell r="E13">
            <v>6</v>
          </cell>
        </row>
        <row r="14">
          <cell r="A14" t="str">
            <v>ｶﾅ決済銀行支店名</v>
          </cell>
          <cell r="B14" t="str">
            <v>CT決済銀行支店</v>
          </cell>
          <cell r="C14" t="str">
            <v>CTシステムコード</v>
          </cell>
          <cell r="D14" t="str">
            <v>varchar</v>
          </cell>
          <cell r="E14">
            <v>15</v>
          </cell>
        </row>
        <row r="15">
          <cell r="A15" t="str">
            <v>ｶﾅ決済銀行名</v>
          </cell>
          <cell r="B15" t="str">
            <v>CT決済銀行</v>
          </cell>
          <cell r="C15" t="str">
            <v>CTシステムステイタス</v>
          </cell>
          <cell r="D15" t="str">
            <v>varchar</v>
          </cell>
          <cell r="E15">
            <v>15</v>
          </cell>
        </row>
        <row r="16">
          <cell r="A16" t="str">
            <v>ｶﾅ決済口座名義人</v>
          </cell>
          <cell r="B16" t="str">
            <v>CT受託銀行</v>
          </cell>
          <cell r="C16" t="str">
            <v>CTシステムステイタス</v>
          </cell>
          <cell r="D16" t="str">
            <v>varchar</v>
          </cell>
          <cell r="E16">
            <v>30</v>
          </cell>
        </row>
        <row r="17">
          <cell r="A17" t="str">
            <v>ｶﾅ決済口座名義人</v>
          </cell>
          <cell r="B17" t="str">
            <v>CT投信会社</v>
          </cell>
          <cell r="C17" t="str">
            <v>CTシステムステイタス</v>
          </cell>
          <cell r="D17" t="str">
            <v>varchar</v>
          </cell>
          <cell r="E17">
            <v>30</v>
          </cell>
        </row>
        <row r="18">
          <cell r="A18" t="str">
            <v>為替レート登録区分</v>
          </cell>
          <cell r="B18" t="str">
            <v>CT為替レート登録区分</v>
          </cell>
          <cell r="C18" t="str">
            <v>CTシステムステイタス</v>
          </cell>
          <cell r="D18" t="str">
            <v>bit</v>
          </cell>
          <cell r="E18">
            <v>2</v>
          </cell>
        </row>
        <row r="19">
          <cell r="A19" t="str">
            <v>管理会社コード</v>
          </cell>
          <cell r="B19" t="str">
            <v>CT管理会社</v>
          </cell>
          <cell r="C19" t="str">
            <v>CTシステムステイタス</v>
          </cell>
          <cell r="D19" t="str">
            <v>bit</v>
          </cell>
          <cell r="E19">
            <v>3</v>
          </cell>
        </row>
        <row r="20">
          <cell r="A20" t="str">
            <v>管理会社名</v>
          </cell>
          <cell r="B20" t="str">
            <v>CT管理会社</v>
          </cell>
          <cell r="C20" t="str">
            <v>CTシステムステイタス</v>
          </cell>
          <cell r="D20" t="str">
            <v>varchar</v>
          </cell>
          <cell r="E20">
            <v>50</v>
          </cell>
        </row>
        <row r="21">
          <cell r="A21" t="str">
            <v>キャッシング上限</v>
          </cell>
          <cell r="B21" t="str">
            <v>CTユーザ会社名</v>
          </cell>
          <cell r="C21" t="str">
            <v>CT代行証券会社</v>
          </cell>
          <cell r="D21" t="str">
            <v>money</v>
          </cell>
          <cell r="E21">
            <v>3</v>
          </cell>
        </row>
        <row r="22">
          <cell r="A22" t="str">
            <v>決済区分コード</v>
          </cell>
          <cell r="B22" t="str">
            <v>CT決済区分</v>
          </cell>
          <cell r="C22" t="str">
            <v>CT代行証券会社</v>
          </cell>
          <cell r="D22" t="str">
            <v>varchar</v>
          </cell>
          <cell r="E22">
            <v>50</v>
          </cell>
        </row>
        <row r="23">
          <cell r="A23" t="str">
            <v>項番</v>
          </cell>
          <cell r="B23" t="str">
            <v>CT帳票文言</v>
          </cell>
          <cell r="C23" t="str">
            <v>○</v>
          </cell>
          <cell r="D23" t="str">
            <v>smallint</v>
          </cell>
        </row>
        <row r="24">
          <cell r="A24" t="str">
            <v>システムコード</v>
          </cell>
          <cell r="B24" t="str">
            <v>CTシステムコード</v>
          </cell>
          <cell r="C24" t="str">
            <v>CT帳票文言</v>
          </cell>
          <cell r="D24" t="str">
            <v>varchar</v>
          </cell>
          <cell r="E24">
            <v>6</v>
          </cell>
        </row>
        <row r="25">
          <cell r="A25" t="str">
            <v>ソートキー</v>
          </cell>
          <cell r="B25" t="str">
            <v>CTシステムコード</v>
          </cell>
          <cell r="C25" t="str">
            <v>○</v>
          </cell>
          <cell r="D25" t="str">
            <v>varchar</v>
          </cell>
          <cell r="E25">
            <v>7</v>
          </cell>
        </row>
        <row r="26">
          <cell r="A26" t="str">
            <v>代行証券会社コード</v>
          </cell>
          <cell r="B26" t="str">
            <v>CT代行証券会社</v>
          </cell>
          <cell r="C26" t="str">
            <v>CT帳票文言</v>
          </cell>
          <cell r="D26" t="str">
            <v>varchar</v>
          </cell>
          <cell r="E26">
            <v>50</v>
          </cell>
        </row>
        <row r="27">
          <cell r="A27" t="str">
            <v>帳票キー</v>
          </cell>
          <cell r="B27" t="str">
            <v>CT帳票文言</v>
          </cell>
          <cell r="C27" t="str">
            <v>CT帳票文言</v>
          </cell>
          <cell r="D27" t="str">
            <v>varchar</v>
          </cell>
          <cell r="E27">
            <v>255</v>
          </cell>
        </row>
        <row r="28">
          <cell r="A28" t="str">
            <v>帳票名</v>
          </cell>
          <cell r="B28" t="str">
            <v>CT帳票文言</v>
          </cell>
          <cell r="C28" t="str">
            <v>○</v>
          </cell>
          <cell r="D28" t="str">
            <v>varchar</v>
          </cell>
          <cell r="E28">
            <v>50</v>
          </cell>
        </row>
        <row r="29">
          <cell r="A29" t="str">
            <v>テーブル名</v>
          </cell>
          <cell r="B29" t="str">
            <v>CTテーブル更新情報</v>
          </cell>
          <cell r="C29" t="str">
            <v>CTテーブル更新情報</v>
          </cell>
          <cell r="D29" t="str">
            <v>datetime</v>
          </cell>
          <cell r="E29">
            <v>30</v>
          </cell>
        </row>
        <row r="30">
          <cell r="A30" t="str">
            <v>テーブル名</v>
          </cell>
          <cell r="B30" t="str">
            <v>CT保有月数</v>
          </cell>
          <cell r="C30" t="str">
            <v>○</v>
          </cell>
          <cell r="D30" t="str">
            <v>varchar</v>
          </cell>
          <cell r="E30">
            <v>50</v>
          </cell>
        </row>
        <row r="31">
          <cell r="A31" t="str">
            <v>テーブル名</v>
          </cell>
          <cell r="B31" t="str">
            <v>CT帳票名</v>
          </cell>
          <cell r="C31" t="str">
            <v>CTメッセージ</v>
          </cell>
          <cell r="D31" t="str">
            <v>varchar</v>
          </cell>
          <cell r="E31">
            <v>50</v>
          </cell>
        </row>
        <row r="32">
          <cell r="A32" t="str">
            <v>パスワード</v>
          </cell>
          <cell r="B32" t="str">
            <v>CTユーザ情報</v>
          </cell>
          <cell r="C32" t="str">
            <v>CTユーザ会社名</v>
          </cell>
          <cell r="D32" t="str">
            <v>varchar</v>
          </cell>
          <cell r="E32">
            <v>10</v>
          </cell>
        </row>
        <row r="33">
          <cell r="A33" t="str">
            <v>表示位置</v>
          </cell>
          <cell r="B33" t="str">
            <v>CT帳票文言</v>
          </cell>
          <cell r="C33" t="str">
            <v>CTユーザ会社名</v>
          </cell>
          <cell r="D33" t="str">
            <v>varchar</v>
          </cell>
          <cell r="E33">
            <v>50</v>
          </cell>
        </row>
        <row r="34">
          <cell r="A34" t="str">
            <v>ファイル名</v>
          </cell>
          <cell r="B34" t="str">
            <v>CT出金FD</v>
          </cell>
          <cell r="C34" t="str">
            <v>CTユーザ会社名</v>
          </cell>
          <cell r="D34" t="str">
            <v>varchar</v>
          </cell>
          <cell r="E34">
            <v>255</v>
          </cell>
        </row>
        <row r="35">
          <cell r="A35" t="str">
            <v>マル優年齢</v>
          </cell>
          <cell r="B35" t="str">
            <v>CTユーザ会社名</v>
          </cell>
          <cell r="C35" t="str">
            <v>CTユーザ会社名</v>
          </cell>
          <cell r="D35" t="str">
            <v>int</v>
          </cell>
        </row>
        <row r="36">
          <cell r="A36" t="str">
            <v>メッセージ</v>
          </cell>
          <cell r="B36" t="str">
            <v>CTメッセージ</v>
          </cell>
          <cell r="C36" t="str">
            <v>CTユーザ会社名</v>
          </cell>
          <cell r="D36" t="str">
            <v>varchar</v>
          </cell>
          <cell r="E36">
            <v>255</v>
          </cell>
        </row>
        <row r="37">
          <cell r="A37" t="str">
            <v>メッセージコード</v>
          </cell>
          <cell r="B37" t="str">
            <v>CTメッセージ</v>
          </cell>
          <cell r="C37" t="str">
            <v>CTユーザ会社名</v>
          </cell>
          <cell r="D37" t="str">
            <v>varchar</v>
          </cell>
          <cell r="E37">
            <v>2</v>
          </cell>
        </row>
        <row r="38">
          <cell r="A38" t="str">
            <v>文言</v>
          </cell>
          <cell r="B38" t="str">
            <v>CT帳票文言</v>
          </cell>
          <cell r="C38" t="str">
            <v>CTユーザ会社名</v>
          </cell>
          <cell r="D38" t="str">
            <v>varchar</v>
          </cell>
          <cell r="E38">
            <v>255</v>
          </cell>
        </row>
        <row r="39">
          <cell r="A39" t="str">
            <v>ユーザID</v>
          </cell>
          <cell r="B39" t="str">
            <v>CTユーザ情報</v>
          </cell>
          <cell r="C39" t="str">
            <v>CTユーザ会社名</v>
          </cell>
          <cell r="D39" t="str">
            <v>varchar</v>
          </cell>
          <cell r="E39">
            <v>2</v>
          </cell>
        </row>
        <row r="40">
          <cell r="A40" t="str">
            <v>ユーザ権限</v>
          </cell>
          <cell r="B40" t="str">
            <v>CTユーザ情報</v>
          </cell>
          <cell r="C40" t="str">
            <v>CTユーザ会社名</v>
          </cell>
          <cell r="D40" t="str">
            <v>varchar</v>
          </cell>
          <cell r="E40">
            <v>20</v>
          </cell>
        </row>
        <row r="41">
          <cell r="A41" t="str">
            <v>ユーザ名</v>
          </cell>
          <cell r="B41" t="str">
            <v>CTユーザ会社名</v>
          </cell>
          <cell r="C41" t="str">
            <v>CTユーザ会社名</v>
          </cell>
          <cell r="D41" t="str">
            <v>varchar</v>
          </cell>
          <cell r="E41">
            <v>4</v>
          </cell>
        </row>
        <row r="42">
          <cell r="A42" t="str">
            <v>ユーザ名</v>
          </cell>
          <cell r="B42" t="str">
            <v>CTユーザ情報</v>
          </cell>
          <cell r="C42" t="str">
            <v>CTユーザ会社名</v>
          </cell>
          <cell r="D42" t="str">
            <v>varchar</v>
          </cell>
          <cell r="E42">
            <v>50</v>
          </cell>
        </row>
        <row r="43">
          <cell r="A43" t="str">
            <v>リアル処理実行中フラグ</v>
          </cell>
          <cell r="B43" t="str">
            <v>CTシステムステイタス</v>
          </cell>
          <cell r="C43" t="str">
            <v>CTユーザ会社名</v>
          </cell>
          <cell r="D43" t="str">
            <v>varchar</v>
          </cell>
          <cell r="E43">
            <v>13</v>
          </cell>
        </row>
        <row r="44">
          <cell r="A44" t="str">
            <v>リアル処理終了フラグ</v>
          </cell>
          <cell r="B44" t="str">
            <v>CTシステムステイタス</v>
          </cell>
          <cell r="C44" t="str">
            <v>CTユーザ会社名</v>
          </cell>
          <cell r="D44" t="str">
            <v>varchar</v>
          </cell>
          <cell r="E44">
            <v>13</v>
          </cell>
        </row>
        <row r="45">
          <cell r="A45" t="str">
            <v>リスク分類コード</v>
          </cell>
          <cell r="B45" t="str">
            <v>CTリスク分類</v>
          </cell>
          <cell r="C45" t="str">
            <v>CTユーザ会社名</v>
          </cell>
          <cell r="D45" t="str">
            <v>varchar</v>
          </cell>
          <cell r="E45">
            <v>12</v>
          </cell>
        </row>
        <row r="46">
          <cell r="A46" t="str">
            <v>レポート名</v>
          </cell>
          <cell r="B46" t="str">
            <v>CT帳票名</v>
          </cell>
          <cell r="C46" t="str">
            <v>CTユーザ会社名</v>
          </cell>
          <cell r="D46" t="str">
            <v>varchar</v>
          </cell>
          <cell r="E46">
            <v>50</v>
          </cell>
        </row>
        <row r="47">
          <cell r="A47" t="str">
            <v>ログインフラグ</v>
          </cell>
          <cell r="B47" t="str">
            <v>CTユーザ情報</v>
          </cell>
          <cell r="C47" t="str">
            <v>CTユーザ会社名</v>
          </cell>
          <cell r="D47" t="str">
            <v>bit</v>
          </cell>
        </row>
        <row r="48">
          <cell r="A48" t="str">
            <v>案内指定区分コード</v>
          </cell>
          <cell r="B48" t="str">
            <v>CT案内指定区分</v>
          </cell>
          <cell r="C48" t="str">
            <v>CTユーザ会社名</v>
          </cell>
          <cell r="D48" t="str">
            <v>varchar</v>
          </cell>
          <cell r="E48">
            <v>12</v>
          </cell>
        </row>
        <row r="49">
          <cell r="A49" t="str">
            <v>為替レート登録区分</v>
          </cell>
          <cell r="B49" t="str">
            <v>CTユーザ会社名</v>
          </cell>
          <cell r="C49" t="str">
            <v>CTユーザ会社名</v>
          </cell>
          <cell r="D49" t="str">
            <v>varchar</v>
          </cell>
          <cell r="E49">
            <v>2</v>
          </cell>
        </row>
        <row r="50">
          <cell r="A50" t="str">
            <v>移管方法</v>
          </cell>
          <cell r="B50" t="str">
            <v>CT移管</v>
          </cell>
          <cell r="C50" t="str">
            <v>CTユーザ会社名</v>
          </cell>
          <cell r="D50" t="str">
            <v>varchar</v>
          </cell>
          <cell r="E50">
            <v>32</v>
          </cell>
        </row>
        <row r="51">
          <cell r="A51" t="str">
            <v>印刷開始頁</v>
          </cell>
          <cell r="B51" t="str">
            <v>CT帳票名</v>
          </cell>
          <cell r="C51" t="str">
            <v>CTユーザ会社名</v>
          </cell>
          <cell r="D51" t="str">
            <v>int</v>
          </cell>
          <cell r="E51">
            <v>32</v>
          </cell>
        </row>
        <row r="52">
          <cell r="A52" t="str">
            <v>印刷区分</v>
          </cell>
          <cell r="B52" t="str">
            <v>CT帳票名</v>
          </cell>
          <cell r="C52" t="str">
            <v>CTユーザ会社名</v>
          </cell>
          <cell r="D52" t="str">
            <v>bit</v>
          </cell>
        </row>
        <row r="53">
          <cell r="A53" t="str">
            <v>印刷終了頁</v>
          </cell>
          <cell r="B53" t="str">
            <v>CT帳票名</v>
          </cell>
          <cell r="C53" t="str">
            <v>CTユーザ会社名</v>
          </cell>
          <cell r="D53" t="str">
            <v>int</v>
          </cell>
        </row>
        <row r="54">
          <cell r="A54" t="str">
            <v>科目コード</v>
          </cell>
          <cell r="B54" t="str">
            <v>CT科目</v>
          </cell>
          <cell r="C54" t="str">
            <v>CTユーザ会社名</v>
          </cell>
          <cell r="D54" t="str">
            <v>varchar</v>
          </cell>
          <cell r="E54">
            <v>20</v>
          </cell>
        </row>
        <row r="55">
          <cell r="A55" t="str">
            <v>開始年</v>
          </cell>
          <cell r="B55" t="str">
            <v>CT休日_月日指定</v>
          </cell>
          <cell r="C55" t="str">
            <v>CTユーザ会社名</v>
          </cell>
          <cell r="D55" t="str">
            <v>int</v>
          </cell>
        </row>
        <row r="56">
          <cell r="A56" t="str">
            <v>開始年</v>
          </cell>
          <cell r="B56" t="str">
            <v>CT休日_曜日指定</v>
          </cell>
          <cell r="C56" t="str">
            <v>CTユーザ情報</v>
          </cell>
          <cell r="D56" t="str">
            <v>int</v>
          </cell>
          <cell r="E56">
            <v>10</v>
          </cell>
        </row>
        <row r="57">
          <cell r="A57" t="str">
            <v>外貨MMFリアル処理</v>
          </cell>
          <cell r="B57" t="str">
            <v>CTユーザ会社名</v>
          </cell>
          <cell r="C57" t="str">
            <v>CTユーザ情報</v>
          </cell>
          <cell r="D57" t="str">
            <v>varchar</v>
          </cell>
          <cell r="E57">
            <v>2</v>
          </cell>
        </row>
        <row r="58">
          <cell r="A58" t="str">
            <v>外貨MMF買戻し対象</v>
          </cell>
          <cell r="B58" t="str">
            <v>CTユーザ会社名</v>
          </cell>
          <cell r="C58" t="str">
            <v>CTユーザ情報</v>
          </cell>
          <cell r="D58" t="str">
            <v>varchar</v>
          </cell>
          <cell r="E58">
            <v>2</v>
          </cell>
        </row>
        <row r="59">
          <cell r="A59" t="str">
            <v>外貨MMF分配金計算</v>
          </cell>
          <cell r="B59" t="str">
            <v>CTユーザ会社名</v>
          </cell>
          <cell r="C59" t="str">
            <v>CTユーザ情報</v>
          </cell>
          <cell r="D59" t="str">
            <v>varchar</v>
          </cell>
          <cell r="E59">
            <v>2</v>
          </cell>
        </row>
        <row r="60">
          <cell r="A60" t="str">
            <v>確認書類区分コード</v>
          </cell>
          <cell r="B60" t="str">
            <v>CT本人確認書類</v>
          </cell>
          <cell r="C60" t="str">
            <v>CTユーザ情報</v>
          </cell>
          <cell r="D60" t="str">
            <v>bit</v>
          </cell>
          <cell r="E60">
            <v>2</v>
          </cell>
        </row>
        <row r="61">
          <cell r="A61" t="str">
            <v>休日区分</v>
          </cell>
          <cell r="B61" t="str">
            <v>CT休日区分</v>
          </cell>
          <cell r="C61" t="str">
            <v>CTユーザ情報</v>
          </cell>
          <cell r="D61" t="str">
            <v>varchar</v>
          </cell>
          <cell r="E61">
            <v>3</v>
          </cell>
        </row>
        <row r="62">
          <cell r="A62" t="str">
            <v>休日区分</v>
          </cell>
          <cell r="B62" t="str">
            <v>CT休日_月日指定</v>
          </cell>
          <cell r="C62" t="str">
            <v>CTユーザ情報</v>
          </cell>
          <cell r="D62" t="str">
            <v>int</v>
          </cell>
          <cell r="E62">
            <v>50</v>
          </cell>
        </row>
        <row r="63">
          <cell r="A63" t="str">
            <v>休日再投資実行中フラグ</v>
          </cell>
          <cell r="B63" t="str">
            <v>CTシステムステイタス</v>
          </cell>
          <cell r="C63" t="str">
            <v>CTリスク分類</v>
          </cell>
          <cell r="D63" t="str">
            <v>bit</v>
          </cell>
          <cell r="E63">
            <v>2</v>
          </cell>
        </row>
        <row r="64">
          <cell r="A64" t="str">
            <v>局番桁数</v>
          </cell>
          <cell r="B64" t="str">
            <v>CT受託銀行</v>
          </cell>
          <cell r="C64" t="str">
            <v>CTリスク分類</v>
          </cell>
          <cell r="D64" t="str">
            <v>int</v>
          </cell>
          <cell r="E64">
            <v>50</v>
          </cell>
        </row>
        <row r="65">
          <cell r="A65" t="str">
            <v>局番桁数2</v>
          </cell>
          <cell r="B65" t="str">
            <v>CT受託銀行</v>
          </cell>
          <cell r="C65" t="str">
            <v>CT案内指定区分</v>
          </cell>
          <cell r="D65" t="str">
            <v>int</v>
          </cell>
          <cell r="E65">
            <v>2</v>
          </cell>
        </row>
        <row r="66">
          <cell r="A66" t="str">
            <v>銀行コード</v>
          </cell>
          <cell r="B66" t="str">
            <v>CT受託銀行</v>
          </cell>
          <cell r="C66" t="str">
            <v>CT案内指定区分</v>
          </cell>
          <cell r="D66" t="str">
            <v>varchar</v>
          </cell>
          <cell r="E66">
            <v>50</v>
          </cell>
        </row>
        <row r="67">
          <cell r="A67" t="str">
            <v>銀行名</v>
          </cell>
          <cell r="B67" t="str">
            <v>CT受託銀行</v>
          </cell>
          <cell r="C67" t="str">
            <v>CT移管</v>
          </cell>
          <cell r="D67" t="str">
            <v>varchar</v>
          </cell>
          <cell r="E67">
            <v>50</v>
          </cell>
        </row>
        <row r="68">
          <cell r="A68" t="str">
            <v>決済科目コード</v>
          </cell>
          <cell r="B68" t="str">
            <v>CT受託銀行</v>
          </cell>
          <cell r="C68" t="str">
            <v>CT移管</v>
          </cell>
          <cell r="D68" t="str">
            <v>varchar</v>
          </cell>
          <cell r="E68">
            <v>2</v>
          </cell>
        </row>
        <row r="69">
          <cell r="A69" t="str">
            <v>決済科目コード</v>
          </cell>
          <cell r="B69" t="str">
            <v>CT投信会社</v>
          </cell>
          <cell r="C69" t="str">
            <v>CT科目</v>
          </cell>
          <cell r="D69" t="str">
            <v>varchar</v>
          </cell>
          <cell r="E69">
            <v>2</v>
          </cell>
        </row>
        <row r="70">
          <cell r="A70" t="str">
            <v>決済銀行コード</v>
          </cell>
          <cell r="B70" t="str">
            <v>CT決済銀行</v>
          </cell>
          <cell r="C70" t="str">
            <v>CT科目</v>
          </cell>
          <cell r="D70" t="str">
            <v>varchar</v>
          </cell>
          <cell r="E70">
            <v>4</v>
          </cell>
        </row>
        <row r="71">
          <cell r="A71" t="str">
            <v>決済銀行コード</v>
          </cell>
          <cell r="B71" t="str">
            <v>CT決済銀行支店</v>
          </cell>
          <cell r="C71" t="str">
            <v>CT科目</v>
          </cell>
          <cell r="D71" t="str">
            <v>varchar</v>
          </cell>
          <cell r="E71">
            <v>10</v>
          </cell>
        </row>
        <row r="72">
          <cell r="A72" t="str">
            <v>決済銀行コード</v>
          </cell>
          <cell r="B72" t="str">
            <v>CT受託銀行</v>
          </cell>
          <cell r="C72" t="str">
            <v>CT休日_月日指定</v>
          </cell>
          <cell r="D72" t="str">
            <v>varchar</v>
          </cell>
          <cell r="E72">
            <v>4</v>
          </cell>
        </row>
        <row r="73">
          <cell r="A73" t="str">
            <v>決済銀行コード</v>
          </cell>
          <cell r="B73" t="str">
            <v>CT投信会社</v>
          </cell>
          <cell r="C73" t="str">
            <v>CT休日_月日指定</v>
          </cell>
          <cell r="D73" t="str">
            <v>varchar</v>
          </cell>
          <cell r="E73">
            <v>4</v>
          </cell>
        </row>
        <row r="74">
          <cell r="A74" t="str">
            <v>決済銀行支店コード</v>
          </cell>
          <cell r="B74" t="str">
            <v>CT決済銀行支店</v>
          </cell>
          <cell r="C74" t="str">
            <v>CT休日_月日指定</v>
          </cell>
          <cell r="D74" t="str">
            <v>int</v>
          </cell>
          <cell r="E74">
            <v>4</v>
          </cell>
        </row>
        <row r="75">
          <cell r="A75" t="str">
            <v>決済銀行支店名</v>
          </cell>
          <cell r="B75" t="str">
            <v>CT決済銀行支店</v>
          </cell>
          <cell r="C75" t="str">
            <v>CT休日_月日指定</v>
          </cell>
          <cell r="D75" t="str">
            <v>varchar</v>
          </cell>
          <cell r="E75">
            <v>50</v>
          </cell>
        </row>
        <row r="76">
          <cell r="A76" t="str">
            <v>決済銀行名</v>
          </cell>
          <cell r="B76" t="str">
            <v>CT決済銀行</v>
          </cell>
          <cell r="C76" t="str">
            <v>CT休日_月日指定</v>
          </cell>
          <cell r="D76" t="str">
            <v>varchar</v>
          </cell>
          <cell r="E76">
            <v>50</v>
          </cell>
        </row>
        <row r="77">
          <cell r="A77" t="str">
            <v>決済口座番号</v>
          </cell>
          <cell r="B77" t="str">
            <v>CT受託銀行</v>
          </cell>
          <cell r="C77" t="str">
            <v>CT休日_月日指定</v>
          </cell>
          <cell r="D77" t="str">
            <v>varchar</v>
          </cell>
          <cell r="E77">
            <v>10</v>
          </cell>
        </row>
        <row r="78">
          <cell r="A78" t="str">
            <v>決済口座番号</v>
          </cell>
          <cell r="B78" t="str">
            <v>CT投信会社</v>
          </cell>
          <cell r="C78" t="str">
            <v>CT休日_春分秋分</v>
          </cell>
          <cell r="D78" t="str">
            <v>varchar</v>
          </cell>
          <cell r="E78">
            <v>10</v>
          </cell>
        </row>
        <row r="79">
          <cell r="A79" t="str">
            <v>決済支店コード</v>
          </cell>
          <cell r="B79" t="str">
            <v>CT受託銀行</v>
          </cell>
          <cell r="C79" t="str">
            <v>CT休日_春分秋分</v>
          </cell>
          <cell r="D79" t="str">
            <v>varchar</v>
          </cell>
          <cell r="E79">
            <v>3</v>
          </cell>
        </row>
        <row r="80">
          <cell r="A80" t="str">
            <v>決済支店コード</v>
          </cell>
          <cell r="B80" t="str">
            <v>CT投信会社</v>
          </cell>
          <cell r="C80" t="str">
            <v>CT休日_曜日指定</v>
          </cell>
          <cell r="D80" t="str">
            <v>varchar</v>
          </cell>
          <cell r="E80">
            <v>3</v>
          </cell>
        </row>
        <row r="81">
          <cell r="A81" t="str">
            <v>月</v>
          </cell>
          <cell r="B81" t="str">
            <v>CT休日_月日指定</v>
          </cell>
          <cell r="C81" t="str">
            <v>○</v>
          </cell>
          <cell r="D81" t="str">
            <v>int</v>
          </cell>
        </row>
        <row r="82">
          <cell r="A82" t="str">
            <v>月</v>
          </cell>
          <cell r="B82" t="str">
            <v>CT休日_曜日指定</v>
          </cell>
          <cell r="C82" t="str">
            <v>○</v>
          </cell>
          <cell r="D82" t="str">
            <v>int</v>
          </cell>
        </row>
        <row r="83">
          <cell r="A83" t="str">
            <v>肩書区分コード</v>
          </cell>
          <cell r="B83" t="str">
            <v>CT肩書区分</v>
          </cell>
          <cell r="C83" t="str">
            <v>CT休日_曜日指定</v>
          </cell>
          <cell r="D83" t="str">
            <v>int</v>
          </cell>
          <cell r="E83">
            <v>2</v>
          </cell>
        </row>
        <row r="84">
          <cell r="A84" t="str">
            <v>呼称_科目</v>
          </cell>
          <cell r="B84" t="str">
            <v>CTユーザ会社名</v>
          </cell>
          <cell r="C84" t="str">
            <v>CT休日_曜日指定</v>
          </cell>
          <cell r="D84" t="str">
            <v>varchar</v>
          </cell>
          <cell r="E84">
            <v>4</v>
          </cell>
        </row>
        <row r="85">
          <cell r="A85" t="str">
            <v>呼称_口座番号</v>
          </cell>
          <cell r="B85" t="str">
            <v>CTユーザ会社名</v>
          </cell>
          <cell r="C85" t="str">
            <v>CT休日_曜日指定</v>
          </cell>
          <cell r="D85" t="str">
            <v>varchar</v>
          </cell>
          <cell r="E85">
            <v>8</v>
          </cell>
        </row>
        <row r="86">
          <cell r="A86" t="str">
            <v>呼称_支店</v>
          </cell>
          <cell r="B86" t="str">
            <v>CTユーザ会社名</v>
          </cell>
          <cell r="C86" t="str">
            <v>CT休日区分</v>
          </cell>
          <cell r="D86" t="str">
            <v>varchar</v>
          </cell>
          <cell r="E86">
            <v>8</v>
          </cell>
        </row>
        <row r="87">
          <cell r="A87" t="str">
            <v>顧客コード体系</v>
          </cell>
          <cell r="B87" t="str">
            <v>CTユーザ会社名</v>
          </cell>
          <cell r="C87" t="str">
            <v>CT休日区分</v>
          </cell>
          <cell r="D87" t="str">
            <v>varchar</v>
          </cell>
          <cell r="E87">
            <v>2</v>
          </cell>
        </row>
        <row r="88">
          <cell r="A88" t="str">
            <v>公社債_株式</v>
          </cell>
          <cell r="B88" t="str">
            <v>CT有価証券取引税</v>
          </cell>
          <cell r="C88" t="str">
            <v>CT休日区分</v>
          </cell>
          <cell r="D88" t="str">
            <v>varchar</v>
          </cell>
          <cell r="E88">
            <v>20</v>
          </cell>
        </row>
        <row r="89">
          <cell r="A89" t="str">
            <v>口座ステイタス区分コード</v>
          </cell>
          <cell r="B89" t="str">
            <v>CT口座ステイタス</v>
          </cell>
          <cell r="C89" t="str">
            <v>○</v>
          </cell>
          <cell r="D89" t="str">
            <v>varchar</v>
          </cell>
          <cell r="E89">
            <v>2</v>
          </cell>
        </row>
        <row r="90">
          <cell r="A90" t="str">
            <v>更新年月日</v>
          </cell>
          <cell r="B90" t="str">
            <v>CTテーブル更新情報</v>
          </cell>
          <cell r="C90" t="str">
            <v>CT決済銀行</v>
          </cell>
          <cell r="D90" t="str">
            <v>datetime</v>
          </cell>
          <cell r="E90">
            <v>15</v>
          </cell>
        </row>
        <row r="91">
          <cell r="A91" t="str">
            <v>項番</v>
          </cell>
          <cell r="B91" t="str">
            <v>CT出金FD</v>
          </cell>
          <cell r="C91" t="str">
            <v>CT決済銀行</v>
          </cell>
          <cell r="D91" t="str">
            <v>varchar</v>
          </cell>
          <cell r="E91">
            <v>50</v>
          </cell>
        </row>
        <row r="92">
          <cell r="A92" t="str">
            <v>項番</v>
          </cell>
          <cell r="B92" t="str">
            <v>CT帳面文言</v>
          </cell>
          <cell r="C92" t="str">
            <v>○</v>
          </cell>
          <cell r="D92" t="str">
            <v>int</v>
          </cell>
          <cell r="E92">
            <v>4</v>
          </cell>
        </row>
        <row r="93">
          <cell r="A93" t="str">
            <v>使用システム</v>
          </cell>
          <cell r="B93" t="str">
            <v>CTユーザ会社名</v>
          </cell>
          <cell r="C93" t="str">
            <v>CT決済銀行支店</v>
          </cell>
          <cell r="D93" t="str">
            <v>varchar</v>
          </cell>
          <cell r="E93">
            <v>12</v>
          </cell>
        </row>
        <row r="94">
          <cell r="A94" t="str">
            <v>市外局番桁数</v>
          </cell>
          <cell r="B94" t="str">
            <v>CT受託銀行</v>
          </cell>
          <cell r="C94" t="str">
            <v>CT決済銀行支店</v>
          </cell>
          <cell r="D94" t="str">
            <v>int</v>
          </cell>
          <cell r="E94">
            <v>15</v>
          </cell>
        </row>
        <row r="95">
          <cell r="A95" t="str">
            <v>市外局番桁数2</v>
          </cell>
          <cell r="B95" t="str">
            <v>CT受託銀行</v>
          </cell>
          <cell r="C95" t="str">
            <v>CT決済銀行支店</v>
          </cell>
          <cell r="D95" t="str">
            <v>int</v>
          </cell>
          <cell r="E95">
            <v>50</v>
          </cell>
        </row>
        <row r="96">
          <cell r="A96" t="str">
            <v>市区町村コード</v>
          </cell>
          <cell r="B96" t="str">
            <v>CT市区町村</v>
          </cell>
          <cell r="C96" t="str">
            <v>○</v>
          </cell>
          <cell r="D96" t="str">
            <v>varchar</v>
          </cell>
          <cell r="E96">
            <v>3</v>
          </cell>
        </row>
        <row r="97">
          <cell r="A97" t="str">
            <v>市区町村コード</v>
          </cell>
          <cell r="B97" t="str">
            <v>CT支店</v>
          </cell>
          <cell r="C97" t="str">
            <v>CT肩書区分</v>
          </cell>
          <cell r="D97" t="str">
            <v>varchar</v>
          </cell>
          <cell r="E97">
            <v>3</v>
          </cell>
        </row>
        <row r="98">
          <cell r="A98" t="str">
            <v>市区町村名</v>
          </cell>
          <cell r="B98" t="str">
            <v>CT市区町村</v>
          </cell>
          <cell r="C98" t="str">
            <v>CT口座ステイタス</v>
          </cell>
          <cell r="D98" t="str">
            <v>varchar</v>
          </cell>
          <cell r="E98">
            <v>50</v>
          </cell>
        </row>
        <row r="99">
          <cell r="A99" t="str">
            <v>市区町村名</v>
          </cell>
          <cell r="B99" t="str">
            <v>CT郵便番号</v>
          </cell>
          <cell r="C99" t="str">
            <v>CT口座ステイタス</v>
          </cell>
          <cell r="D99" t="str">
            <v>varchar</v>
          </cell>
          <cell r="E99">
            <v>50</v>
          </cell>
        </row>
        <row r="100">
          <cell r="A100" t="str">
            <v>支店コード</v>
          </cell>
          <cell r="B100" t="str">
            <v>CT支店</v>
          </cell>
          <cell r="C100" t="str">
            <v>○</v>
          </cell>
          <cell r="D100" t="str">
            <v>varchar</v>
          </cell>
          <cell r="E100">
            <v>3</v>
          </cell>
        </row>
        <row r="101">
          <cell r="A101" t="str">
            <v>支店出力</v>
          </cell>
          <cell r="B101" t="str">
            <v>CT帳票名</v>
          </cell>
          <cell r="C101" t="str">
            <v>CT市区町村</v>
          </cell>
          <cell r="D101" t="str">
            <v>bit</v>
          </cell>
          <cell r="E101">
            <v>2</v>
          </cell>
        </row>
        <row r="102">
          <cell r="A102" t="str">
            <v>支店名</v>
          </cell>
          <cell r="B102" t="str">
            <v>CT支店</v>
          </cell>
          <cell r="C102" t="str">
            <v>CT市区町村</v>
          </cell>
          <cell r="D102" t="str">
            <v>varchar</v>
          </cell>
          <cell r="E102">
            <v>50</v>
          </cell>
        </row>
        <row r="103">
          <cell r="A103" t="str">
            <v>資金性格区分コード</v>
          </cell>
          <cell r="B103" t="str">
            <v>CT資金性格</v>
          </cell>
          <cell r="C103" t="str">
            <v>○</v>
          </cell>
          <cell r="D103" t="str">
            <v>varchar</v>
          </cell>
          <cell r="E103">
            <v>2</v>
          </cell>
        </row>
        <row r="104">
          <cell r="A104" t="str">
            <v>社印表示</v>
          </cell>
          <cell r="B104" t="str">
            <v>CTユーザ会社名</v>
          </cell>
          <cell r="C104" t="str">
            <v>CT支店</v>
          </cell>
          <cell r="D104" t="str">
            <v>bit</v>
          </cell>
          <cell r="E104">
            <v>20</v>
          </cell>
        </row>
        <row r="105">
          <cell r="A105" t="str">
            <v>社名表示</v>
          </cell>
          <cell r="B105" t="str">
            <v>CTユーザ会社名</v>
          </cell>
          <cell r="C105" t="str">
            <v>CT支店</v>
          </cell>
          <cell r="D105" t="str">
            <v>bit</v>
          </cell>
          <cell r="E105">
            <v>3</v>
          </cell>
        </row>
        <row r="106">
          <cell r="A106" t="str">
            <v>取扱店コード</v>
          </cell>
          <cell r="B106" t="str">
            <v>CTユーザ情報</v>
          </cell>
          <cell r="C106" t="str">
            <v>CT支店</v>
          </cell>
          <cell r="D106" t="str">
            <v>varchar</v>
          </cell>
          <cell r="E106">
            <v>3</v>
          </cell>
        </row>
        <row r="107">
          <cell r="A107" t="str">
            <v>取引動機区分コード</v>
          </cell>
          <cell r="B107" t="str">
            <v>CT取引動機</v>
          </cell>
          <cell r="C107" t="str">
            <v>CT支店</v>
          </cell>
          <cell r="D107" t="str">
            <v>varchar</v>
          </cell>
          <cell r="E107">
            <v>12</v>
          </cell>
        </row>
        <row r="108">
          <cell r="A108" t="str">
            <v>取引方式区分コード</v>
          </cell>
          <cell r="B108" t="str">
            <v>CT取引方式区分</v>
          </cell>
          <cell r="C108" t="str">
            <v>CT支店</v>
          </cell>
          <cell r="D108" t="str">
            <v>varchar</v>
          </cell>
          <cell r="E108">
            <v>32</v>
          </cell>
        </row>
        <row r="109">
          <cell r="A109" t="str">
            <v>終了年</v>
          </cell>
          <cell r="B109" t="str">
            <v>CT休日_月日指定</v>
          </cell>
          <cell r="C109" t="str">
            <v>CT支店</v>
          </cell>
          <cell r="D109" t="str">
            <v>int</v>
          </cell>
          <cell r="E109">
            <v>32</v>
          </cell>
        </row>
        <row r="110">
          <cell r="A110" t="str">
            <v>終了年</v>
          </cell>
          <cell r="B110" t="str">
            <v>CT休日_曜日指定</v>
          </cell>
          <cell r="C110" t="str">
            <v>CT支店</v>
          </cell>
          <cell r="D110" t="str">
            <v>int</v>
          </cell>
          <cell r="E110">
            <v>80</v>
          </cell>
        </row>
        <row r="111">
          <cell r="A111" t="str">
            <v>週</v>
          </cell>
          <cell r="B111" t="str">
            <v>CT休日_曜日指定</v>
          </cell>
          <cell r="C111" t="str">
            <v>CT支店</v>
          </cell>
          <cell r="D111" t="str">
            <v>varchar</v>
          </cell>
          <cell r="E111">
            <v>20</v>
          </cell>
        </row>
        <row r="112">
          <cell r="A112" t="str">
            <v>住所1</v>
          </cell>
          <cell r="B112" t="str">
            <v>CTユーザ会社名</v>
          </cell>
          <cell r="C112" t="str">
            <v>CT支店</v>
          </cell>
          <cell r="D112" t="str">
            <v>varchar</v>
          </cell>
          <cell r="E112">
            <v>12</v>
          </cell>
        </row>
        <row r="113">
          <cell r="A113" t="str">
            <v>住所1</v>
          </cell>
          <cell r="B113" t="str">
            <v>CT支店</v>
          </cell>
          <cell r="C113" t="str">
            <v>CT支店</v>
          </cell>
          <cell r="D113" t="str">
            <v>varchar</v>
          </cell>
          <cell r="E113">
            <v>12</v>
          </cell>
        </row>
        <row r="114">
          <cell r="A114" t="str">
            <v>住所1</v>
          </cell>
          <cell r="B114" t="str">
            <v>CT住所</v>
          </cell>
          <cell r="C114" t="str">
            <v>CT支店</v>
          </cell>
          <cell r="D114" t="str">
            <v>varchar</v>
          </cell>
          <cell r="E114">
            <v>12</v>
          </cell>
        </row>
        <row r="115">
          <cell r="A115" t="str">
            <v>住所2</v>
          </cell>
          <cell r="B115" t="str">
            <v>CTユーザ会社名</v>
          </cell>
          <cell r="C115" t="str">
            <v>CT資金性格</v>
          </cell>
          <cell r="D115" t="str">
            <v>varchar</v>
          </cell>
          <cell r="E115">
            <v>32</v>
          </cell>
        </row>
        <row r="116">
          <cell r="A116" t="str">
            <v>住所2</v>
          </cell>
          <cell r="B116" t="str">
            <v>CT支店</v>
          </cell>
          <cell r="C116" t="str">
            <v>CT資金性格</v>
          </cell>
          <cell r="D116" t="str">
            <v>varchar</v>
          </cell>
          <cell r="E116">
            <v>32</v>
          </cell>
        </row>
        <row r="117">
          <cell r="A117" t="str">
            <v>住所2</v>
          </cell>
          <cell r="B117" t="str">
            <v>CT住所</v>
          </cell>
          <cell r="C117" t="str">
            <v>CT取引動機</v>
          </cell>
          <cell r="D117" t="str">
            <v>varchar</v>
          </cell>
          <cell r="E117">
            <v>32</v>
          </cell>
        </row>
        <row r="118">
          <cell r="A118" t="str">
            <v>住所3</v>
          </cell>
          <cell r="B118" t="str">
            <v>CTユーザ会社名</v>
          </cell>
          <cell r="C118" t="str">
            <v>CT取引動機</v>
          </cell>
          <cell r="D118" t="str">
            <v>varchar</v>
          </cell>
          <cell r="E118">
            <v>32</v>
          </cell>
        </row>
        <row r="119">
          <cell r="A119" t="str">
            <v>住所3</v>
          </cell>
          <cell r="B119" t="str">
            <v>CT支店</v>
          </cell>
          <cell r="C119" t="str">
            <v>CT取引方式区分</v>
          </cell>
          <cell r="D119" t="str">
            <v>varchar</v>
          </cell>
          <cell r="E119">
            <v>32</v>
          </cell>
        </row>
        <row r="120">
          <cell r="A120" t="str">
            <v>住所3</v>
          </cell>
          <cell r="B120" t="str">
            <v>CT住所</v>
          </cell>
          <cell r="C120" t="str">
            <v>CT取引方式区分</v>
          </cell>
          <cell r="D120" t="str">
            <v>varchar</v>
          </cell>
          <cell r="E120">
            <v>32</v>
          </cell>
        </row>
        <row r="121">
          <cell r="A121" t="str">
            <v>住所4</v>
          </cell>
          <cell r="B121" t="str">
            <v>CTユーザ会社名</v>
          </cell>
          <cell r="C121" t="str">
            <v>CT受託銀行</v>
          </cell>
          <cell r="D121" t="str">
            <v>varchar</v>
          </cell>
          <cell r="E121">
            <v>32</v>
          </cell>
        </row>
        <row r="122">
          <cell r="A122" t="str">
            <v>住所4</v>
          </cell>
          <cell r="B122" t="str">
            <v>CT支店</v>
          </cell>
          <cell r="C122" t="str">
            <v>CT受託銀行</v>
          </cell>
          <cell r="D122" t="str">
            <v>varchar</v>
          </cell>
          <cell r="E122">
            <v>80</v>
          </cell>
        </row>
        <row r="123">
          <cell r="A123" t="str">
            <v>住所4</v>
          </cell>
          <cell r="B123" t="str">
            <v>CT住所</v>
          </cell>
          <cell r="C123" t="str">
            <v>CT受託銀行</v>
          </cell>
          <cell r="D123" t="str">
            <v>varchar</v>
          </cell>
          <cell r="E123">
            <v>80</v>
          </cell>
        </row>
        <row r="124">
          <cell r="A124" t="str">
            <v>住所コード</v>
          </cell>
          <cell r="B124" t="str">
            <v>CT住所</v>
          </cell>
          <cell r="C124" t="str">
            <v>CT受託銀行</v>
          </cell>
          <cell r="D124" t="str">
            <v>varchar</v>
          </cell>
          <cell r="E124">
            <v>20</v>
          </cell>
        </row>
        <row r="125">
          <cell r="A125" t="str">
            <v>住所コード</v>
          </cell>
          <cell r="B125" t="str">
            <v>CT支店</v>
          </cell>
          <cell r="C125" t="str">
            <v>CT受託銀行</v>
          </cell>
          <cell r="D125" t="str">
            <v>varchar</v>
          </cell>
          <cell r="E125">
            <v>20</v>
          </cell>
        </row>
        <row r="126">
          <cell r="A126" t="str">
            <v>出力フラグ</v>
          </cell>
          <cell r="B126" t="str">
            <v>CT出金FD</v>
          </cell>
          <cell r="C126" t="str">
            <v>CT受託銀行</v>
          </cell>
          <cell r="D126" t="str">
            <v>bit</v>
          </cell>
          <cell r="E126">
            <v>30</v>
          </cell>
        </row>
        <row r="127">
          <cell r="A127" t="str">
            <v>出力年月日</v>
          </cell>
          <cell r="B127" t="str">
            <v>CT出金FD</v>
          </cell>
          <cell r="C127" t="str">
            <v>CT受託銀行</v>
          </cell>
          <cell r="D127" t="str">
            <v>datetime</v>
          </cell>
        </row>
        <row r="128">
          <cell r="A128" t="str">
            <v>処理年月日</v>
          </cell>
          <cell r="B128" t="str">
            <v>CTシステムステイタス</v>
          </cell>
          <cell r="C128" t="str">
            <v>CT受託銀行</v>
          </cell>
          <cell r="D128" t="str">
            <v>int</v>
          </cell>
        </row>
        <row r="129">
          <cell r="A129" t="str">
            <v>所属</v>
          </cell>
          <cell r="B129" t="str">
            <v>CTユーザ情報</v>
          </cell>
          <cell r="C129" t="str">
            <v>CT受託銀行</v>
          </cell>
          <cell r="D129" t="str">
            <v>varchar</v>
          </cell>
          <cell r="E129">
            <v>50</v>
          </cell>
        </row>
        <row r="130">
          <cell r="A130" t="str">
            <v>所得税率</v>
          </cell>
          <cell r="B130" t="str">
            <v>CT税区分</v>
          </cell>
          <cell r="C130" t="str">
            <v>CT受託銀行</v>
          </cell>
          <cell r="D130" t="str">
            <v>money</v>
          </cell>
          <cell r="E130">
            <v>2</v>
          </cell>
        </row>
        <row r="131">
          <cell r="A131" t="str">
            <v>消費税率</v>
          </cell>
          <cell r="B131" t="str">
            <v>CT消費税率</v>
          </cell>
          <cell r="C131" t="str">
            <v>CT受託銀行</v>
          </cell>
          <cell r="D131" t="str">
            <v>money</v>
          </cell>
          <cell r="E131">
            <v>4</v>
          </cell>
        </row>
        <row r="132">
          <cell r="A132" t="str">
            <v>職業区分コード</v>
          </cell>
          <cell r="B132" t="str">
            <v>CT職業区分</v>
          </cell>
          <cell r="C132" t="str">
            <v>CT受託銀行</v>
          </cell>
          <cell r="D132" t="str">
            <v>varchar</v>
          </cell>
          <cell r="E132">
            <v>10</v>
          </cell>
        </row>
        <row r="133">
          <cell r="A133" t="str">
            <v>税区分コード</v>
          </cell>
          <cell r="B133" t="str">
            <v>CT税区分</v>
          </cell>
          <cell r="C133" t="str">
            <v>CT受託銀行</v>
          </cell>
          <cell r="D133" t="str">
            <v>varchar</v>
          </cell>
          <cell r="E133">
            <v>3</v>
          </cell>
        </row>
        <row r="134">
          <cell r="A134" t="str">
            <v>総限度額</v>
          </cell>
          <cell r="B134" t="str">
            <v>CTユーザ会社名</v>
          </cell>
          <cell r="C134" t="str">
            <v>CT受託銀行</v>
          </cell>
          <cell r="D134" t="str">
            <v>money</v>
          </cell>
        </row>
        <row r="135">
          <cell r="A135" t="str">
            <v>代行証券会社名</v>
          </cell>
          <cell r="B135" t="str">
            <v>CT代行証券会社</v>
          </cell>
          <cell r="C135" t="str">
            <v>CT受託銀行</v>
          </cell>
          <cell r="D135" t="str">
            <v>varchar</v>
          </cell>
          <cell r="E135">
            <v>50</v>
          </cell>
        </row>
        <row r="136">
          <cell r="A136" t="str">
            <v>地方税率</v>
          </cell>
          <cell r="B136" t="str">
            <v>CT税区分</v>
          </cell>
          <cell r="C136" t="str">
            <v>CT受託銀行</v>
          </cell>
          <cell r="D136" t="str">
            <v>money</v>
          </cell>
          <cell r="E136">
            <v>20</v>
          </cell>
        </row>
        <row r="137">
          <cell r="A137" t="str">
            <v>抽出条件</v>
          </cell>
          <cell r="B137" t="str">
            <v>CT帳票名</v>
          </cell>
          <cell r="C137" t="str">
            <v>CT受託銀行</v>
          </cell>
          <cell r="D137" t="str">
            <v>varchar</v>
          </cell>
          <cell r="E137">
            <v>255</v>
          </cell>
        </row>
        <row r="138">
          <cell r="A138" t="str">
            <v>帳票キー</v>
          </cell>
          <cell r="B138" t="str">
            <v>CT帳面文言</v>
          </cell>
          <cell r="C138" t="str">
            <v>CT受託銀行</v>
          </cell>
          <cell r="D138" t="str">
            <v>varchar</v>
          </cell>
          <cell r="E138">
            <v>2</v>
          </cell>
        </row>
        <row r="139">
          <cell r="A139" t="str">
            <v>帳票管理番号</v>
          </cell>
          <cell r="B139" t="str">
            <v>CT帳票名</v>
          </cell>
          <cell r="C139" t="str">
            <v>CT受託銀行</v>
          </cell>
          <cell r="D139" t="str">
            <v>varchar</v>
          </cell>
          <cell r="E139">
            <v>20</v>
          </cell>
        </row>
        <row r="140">
          <cell r="A140" t="str">
            <v>帳票区分</v>
          </cell>
          <cell r="B140" t="str">
            <v>CT帳票名</v>
          </cell>
          <cell r="C140" t="str">
            <v>CT受託銀行</v>
          </cell>
          <cell r="D140" t="str">
            <v>int</v>
          </cell>
          <cell r="E140">
            <v>10</v>
          </cell>
        </row>
        <row r="141">
          <cell r="A141" t="str">
            <v>帳票項番</v>
          </cell>
          <cell r="B141" t="str">
            <v>CT帳票名</v>
          </cell>
          <cell r="C141" t="str">
            <v>CT受託銀行</v>
          </cell>
          <cell r="D141" t="str">
            <v>varchar</v>
          </cell>
          <cell r="E141">
            <v>255</v>
          </cell>
        </row>
        <row r="142">
          <cell r="A142" t="str">
            <v>帳票名</v>
          </cell>
          <cell r="B142" t="str">
            <v>CT帳面文言</v>
          </cell>
          <cell r="C142" t="str">
            <v>CT受託銀行</v>
          </cell>
          <cell r="D142" t="str">
            <v>varchar</v>
          </cell>
          <cell r="E142">
            <v>50</v>
          </cell>
        </row>
        <row r="143">
          <cell r="A143" t="str">
            <v>帳票名</v>
          </cell>
          <cell r="B143" t="str">
            <v>CT帳票名</v>
          </cell>
          <cell r="C143" t="str">
            <v>CT受託銀行</v>
          </cell>
          <cell r="D143" t="str">
            <v>varchar</v>
          </cell>
          <cell r="E143">
            <v>50</v>
          </cell>
        </row>
        <row r="144">
          <cell r="A144" t="str">
            <v>帳面文言</v>
          </cell>
          <cell r="B144" t="str">
            <v>CT科目</v>
          </cell>
          <cell r="C144" t="str">
            <v>CT住所</v>
          </cell>
          <cell r="D144" t="str">
            <v>varchar</v>
          </cell>
          <cell r="E144">
            <v>4</v>
          </cell>
        </row>
        <row r="145">
          <cell r="A145" t="str">
            <v>町域名</v>
          </cell>
          <cell r="B145" t="str">
            <v>CT郵便番号</v>
          </cell>
          <cell r="C145" t="str">
            <v>CT住所</v>
          </cell>
          <cell r="D145" t="str">
            <v>varchar</v>
          </cell>
          <cell r="E145">
            <v>128</v>
          </cell>
        </row>
        <row r="146">
          <cell r="A146" t="str">
            <v>定残出力間隔</v>
          </cell>
          <cell r="B146" t="str">
            <v>CTユーザ会社名</v>
          </cell>
          <cell r="C146" t="str">
            <v>CT住所</v>
          </cell>
          <cell r="D146" t="str">
            <v>int</v>
          </cell>
          <cell r="E146">
            <v>32</v>
          </cell>
        </row>
        <row r="147">
          <cell r="A147" t="str">
            <v>締ステイタス</v>
          </cell>
          <cell r="B147" t="str">
            <v>CTシステムステイタス</v>
          </cell>
          <cell r="C147" t="str">
            <v>CT住所</v>
          </cell>
          <cell r="D147" t="str">
            <v>bit</v>
          </cell>
          <cell r="E147">
            <v>32</v>
          </cell>
        </row>
        <row r="148">
          <cell r="A148" t="str">
            <v>締実行中フラグ</v>
          </cell>
          <cell r="B148" t="str">
            <v>CTシステムステイタス</v>
          </cell>
          <cell r="C148" t="str">
            <v>CT住所</v>
          </cell>
          <cell r="D148" t="str">
            <v>bit</v>
          </cell>
          <cell r="E148">
            <v>80</v>
          </cell>
        </row>
        <row r="149">
          <cell r="A149" t="str">
            <v>摘要</v>
          </cell>
          <cell r="B149" t="str">
            <v>CTMMF分配金計算</v>
          </cell>
          <cell r="C149" t="str">
            <v>CT出金FD</v>
          </cell>
          <cell r="D149" t="str">
            <v>varchar</v>
          </cell>
          <cell r="E149">
            <v>20</v>
          </cell>
        </row>
        <row r="150">
          <cell r="A150" t="str">
            <v>摘要</v>
          </cell>
          <cell r="B150" t="str">
            <v>CT買戻し対象</v>
          </cell>
          <cell r="C150" t="str">
            <v>CT出金FD</v>
          </cell>
          <cell r="D150" t="str">
            <v>varchar</v>
          </cell>
          <cell r="E150">
            <v>20</v>
          </cell>
        </row>
        <row r="151">
          <cell r="A151" t="str">
            <v>摘要</v>
          </cell>
          <cell r="B151" t="str">
            <v>CT為替レート登録区分</v>
          </cell>
          <cell r="C151" t="str">
            <v>CT出金FD</v>
          </cell>
          <cell r="D151" t="str">
            <v>varchar</v>
          </cell>
          <cell r="E151">
            <v>20</v>
          </cell>
        </row>
        <row r="152">
          <cell r="A152" t="str">
            <v>摘要</v>
          </cell>
          <cell r="B152" t="str">
            <v>CT決済区分</v>
          </cell>
          <cell r="C152" t="str">
            <v>CT出金FD</v>
          </cell>
          <cell r="D152" t="str">
            <v>varchar</v>
          </cell>
          <cell r="E152">
            <v>20</v>
          </cell>
        </row>
        <row r="153">
          <cell r="A153" t="str">
            <v>摘要</v>
          </cell>
          <cell r="B153" t="str">
            <v>CTシステムコード</v>
          </cell>
          <cell r="C153" t="str">
            <v>CT出金FD</v>
          </cell>
          <cell r="D153" t="str">
            <v>varchar</v>
          </cell>
          <cell r="E153">
            <v>40</v>
          </cell>
        </row>
        <row r="154">
          <cell r="A154" t="str">
            <v>摘要</v>
          </cell>
          <cell r="B154" t="str">
            <v>CTリスク分類</v>
          </cell>
          <cell r="C154" t="str">
            <v>CT消費税率</v>
          </cell>
          <cell r="D154" t="str">
            <v>varchar</v>
          </cell>
          <cell r="E154">
            <v>50</v>
          </cell>
        </row>
        <row r="155">
          <cell r="A155" t="str">
            <v>摘要</v>
          </cell>
          <cell r="B155" t="str">
            <v>CT案内指定区分</v>
          </cell>
          <cell r="C155" t="str">
            <v>CT消費税率</v>
          </cell>
          <cell r="D155" t="str">
            <v>varchar</v>
          </cell>
          <cell r="E155">
            <v>50</v>
          </cell>
        </row>
        <row r="156">
          <cell r="A156" t="str">
            <v>摘要</v>
          </cell>
          <cell r="B156" t="str">
            <v>CT移管</v>
          </cell>
          <cell r="C156" t="str">
            <v>CT職業区分</v>
          </cell>
          <cell r="D156" t="str">
            <v>varchar</v>
          </cell>
          <cell r="E156">
            <v>10</v>
          </cell>
        </row>
        <row r="157">
          <cell r="A157" t="str">
            <v>摘要</v>
          </cell>
          <cell r="B157" t="str">
            <v>CT科目</v>
          </cell>
          <cell r="C157" t="str">
            <v>CT職業区分</v>
          </cell>
          <cell r="D157" t="str">
            <v>varchar</v>
          </cell>
          <cell r="E157">
            <v>10</v>
          </cell>
        </row>
        <row r="158">
          <cell r="A158" t="str">
            <v>摘要</v>
          </cell>
          <cell r="B158" t="str">
            <v>CT休日_月日指定</v>
          </cell>
          <cell r="C158" t="str">
            <v>CT税区分</v>
          </cell>
          <cell r="D158" t="str">
            <v>varchar</v>
          </cell>
          <cell r="E158">
            <v>20</v>
          </cell>
        </row>
        <row r="159">
          <cell r="A159" t="str">
            <v>摘要</v>
          </cell>
          <cell r="B159" t="str">
            <v>CT休日_春分秋分</v>
          </cell>
          <cell r="C159" t="str">
            <v>CT税区分</v>
          </cell>
          <cell r="D159" t="str">
            <v>varchar</v>
          </cell>
          <cell r="E159">
            <v>20</v>
          </cell>
        </row>
        <row r="160">
          <cell r="A160" t="str">
            <v>摘要</v>
          </cell>
          <cell r="B160" t="str">
            <v>CT休日_曜日指定</v>
          </cell>
          <cell r="C160" t="str">
            <v>CT税区分</v>
          </cell>
          <cell r="D160" t="str">
            <v>varchar</v>
          </cell>
          <cell r="E160">
            <v>20</v>
          </cell>
        </row>
        <row r="161">
          <cell r="A161" t="str">
            <v>摘要</v>
          </cell>
          <cell r="B161" t="str">
            <v>CT休日区分</v>
          </cell>
          <cell r="C161" t="str">
            <v>CT税区分</v>
          </cell>
          <cell r="D161" t="str">
            <v>varchar</v>
          </cell>
          <cell r="E161">
            <v>20</v>
          </cell>
        </row>
        <row r="162">
          <cell r="A162" t="str">
            <v>摘要</v>
          </cell>
          <cell r="B162" t="str">
            <v>CT肩書区分</v>
          </cell>
          <cell r="C162" t="str">
            <v>CT税区分</v>
          </cell>
          <cell r="D162" t="str">
            <v>varchar</v>
          </cell>
          <cell r="E162">
            <v>50</v>
          </cell>
        </row>
        <row r="163">
          <cell r="A163" t="str">
            <v>摘要</v>
          </cell>
          <cell r="B163" t="str">
            <v>CT口座ステイタス</v>
          </cell>
          <cell r="C163" t="str">
            <v>CT帳票名</v>
          </cell>
          <cell r="D163" t="str">
            <v>varchar</v>
          </cell>
          <cell r="E163">
            <v>20</v>
          </cell>
        </row>
        <row r="164">
          <cell r="A164" t="str">
            <v>摘要</v>
          </cell>
          <cell r="B164" t="str">
            <v>CT資金性格</v>
          </cell>
          <cell r="C164" t="str">
            <v>CT帳票名</v>
          </cell>
          <cell r="D164" t="str">
            <v>varchar</v>
          </cell>
          <cell r="E164">
            <v>20</v>
          </cell>
        </row>
        <row r="165">
          <cell r="A165" t="str">
            <v>摘要</v>
          </cell>
          <cell r="B165" t="str">
            <v>CT取引動機</v>
          </cell>
          <cell r="C165" t="str">
            <v>CT帳票名</v>
          </cell>
          <cell r="D165" t="str">
            <v>varchar</v>
          </cell>
          <cell r="E165">
            <v>20</v>
          </cell>
        </row>
        <row r="166">
          <cell r="A166" t="str">
            <v>摘要</v>
          </cell>
          <cell r="B166" t="str">
            <v>CT取引方式区分</v>
          </cell>
          <cell r="C166" t="str">
            <v>CT帳票名</v>
          </cell>
          <cell r="D166" t="str">
            <v>varchar</v>
          </cell>
          <cell r="E166">
            <v>50</v>
          </cell>
        </row>
        <row r="167">
          <cell r="A167" t="str">
            <v>摘要</v>
          </cell>
          <cell r="B167" t="str">
            <v>CT職業区分</v>
          </cell>
          <cell r="C167" t="str">
            <v>CT帳票名</v>
          </cell>
          <cell r="D167" t="str">
            <v>varchar</v>
          </cell>
          <cell r="E167">
            <v>50</v>
          </cell>
        </row>
        <row r="168">
          <cell r="A168" t="str">
            <v>摘要</v>
          </cell>
          <cell r="B168" t="str">
            <v>CT税区分</v>
          </cell>
          <cell r="C168" t="str">
            <v>CT帳票名</v>
          </cell>
          <cell r="D168" t="str">
            <v>varchar</v>
          </cell>
          <cell r="E168">
            <v>20</v>
          </cell>
        </row>
        <row r="169">
          <cell r="A169" t="str">
            <v>摘要</v>
          </cell>
          <cell r="B169" t="str">
            <v>CT入出金経路</v>
          </cell>
          <cell r="C169" t="str">
            <v>CT帳票名</v>
          </cell>
          <cell r="D169" t="str">
            <v>varchar</v>
          </cell>
          <cell r="E169">
            <v>50</v>
          </cell>
        </row>
        <row r="170">
          <cell r="A170" t="str">
            <v>摘要</v>
          </cell>
          <cell r="B170" t="str">
            <v>CT法人区分</v>
          </cell>
          <cell r="C170" t="str">
            <v>CT帳票名</v>
          </cell>
          <cell r="D170" t="str">
            <v>varchar</v>
          </cell>
          <cell r="E170">
            <v>50</v>
          </cell>
        </row>
        <row r="171">
          <cell r="A171" t="str">
            <v>摘要</v>
          </cell>
          <cell r="B171" t="str">
            <v>CT法人区分_分類</v>
          </cell>
          <cell r="C171" t="str">
            <v>CT帳票名</v>
          </cell>
          <cell r="D171" t="str">
            <v>varchar</v>
          </cell>
          <cell r="E171">
            <v>50</v>
          </cell>
        </row>
        <row r="172">
          <cell r="A172" t="str">
            <v>摘要</v>
          </cell>
          <cell r="B172" t="str">
            <v>CT本人確認書類</v>
          </cell>
          <cell r="C172" t="str">
            <v>CT帳票名</v>
          </cell>
          <cell r="D172" t="str">
            <v>varchar</v>
          </cell>
          <cell r="E172">
            <v>50</v>
          </cell>
        </row>
        <row r="173">
          <cell r="A173" t="str">
            <v>摘要</v>
          </cell>
          <cell r="B173" t="str">
            <v>CT名義人区分</v>
          </cell>
          <cell r="C173" t="str">
            <v>CT帳票名</v>
          </cell>
          <cell r="D173" t="str">
            <v>varchar</v>
          </cell>
          <cell r="E173">
            <v>20</v>
          </cell>
        </row>
        <row r="174">
          <cell r="A174" t="str">
            <v>摘要</v>
          </cell>
          <cell r="B174" t="str">
            <v>CT約定方法</v>
          </cell>
          <cell r="C174" t="str">
            <v>CT帳票名</v>
          </cell>
          <cell r="D174" t="str">
            <v>varchar</v>
          </cell>
          <cell r="E174">
            <v>12</v>
          </cell>
        </row>
        <row r="175">
          <cell r="A175" t="str">
            <v>摘要</v>
          </cell>
          <cell r="B175" t="str">
            <v>CT預り区分</v>
          </cell>
          <cell r="C175" t="str">
            <v>CT帳面文言</v>
          </cell>
          <cell r="D175" t="str">
            <v>varchar</v>
          </cell>
          <cell r="E175">
            <v>20</v>
          </cell>
        </row>
        <row r="176">
          <cell r="A176" t="str">
            <v>摘要</v>
          </cell>
          <cell r="B176" t="str">
            <v>CT預り指定</v>
          </cell>
          <cell r="C176" t="str">
            <v>CT帳面文言</v>
          </cell>
          <cell r="D176" t="str">
            <v>varchar</v>
          </cell>
          <cell r="E176">
            <v>20</v>
          </cell>
        </row>
        <row r="177">
          <cell r="A177" t="str">
            <v>摘要2 (20)</v>
          </cell>
          <cell r="B177" t="str">
            <v>CT休日区分</v>
          </cell>
          <cell r="C177" t="str">
            <v>CT帳面文言</v>
          </cell>
          <cell r="D177" t="str">
            <v>varchar</v>
          </cell>
          <cell r="E177">
            <v>20</v>
          </cell>
        </row>
        <row r="178">
          <cell r="A178" t="str">
            <v>適用年月日</v>
          </cell>
          <cell r="B178" t="str">
            <v>CT消費税率</v>
          </cell>
          <cell r="C178" t="str">
            <v>CT帳面文言</v>
          </cell>
          <cell r="D178" t="str">
            <v>varchar</v>
          </cell>
          <cell r="E178">
            <v>50</v>
          </cell>
        </row>
        <row r="179">
          <cell r="A179" t="str">
            <v>適用年月日</v>
          </cell>
          <cell r="B179" t="str">
            <v>CT税区分</v>
          </cell>
          <cell r="C179" t="str">
            <v>CT帳面文言</v>
          </cell>
          <cell r="D179" t="str">
            <v>varchar</v>
          </cell>
          <cell r="E179">
            <v>255</v>
          </cell>
        </row>
        <row r="180">
          <cell r="A180" t="str">
            <v>適用年月日</v>
          </cell>
          <cell r="B180" t="str">
            <v>CT有価証券取引税</v>
          </cell>
          <cell r="C180" t="str">
            <v>○</v>
          </cell>
          <cell r="D180" t="str">
            <v>datetime</v>
          </cell>
          <cell r="E180">
            <v>2</v>
          </cell>
        </row>
        <row r="181">
          <cell r="A181" t="str">
            <v>電話番号</v>
          </cell>
          <cell r="B181" t="str">
            <v>CTユーザ会社名</v>
          </cell>
          <cell r="C181" t="str">
            <v>CT都道府県</v>
          </cell>
          <cell r="D181" t="str">
            <v>varchar</v>
          </cell>
          <cell r="E181">
            <v>20</v>
          </cell>
        </row>
        <row r="182">
          <cell r="A182" t="str">
            <v>電話番号</v>
          </cell>
          <cell r="B182" t="str">
            <v>CT支店</v>
          </cell>
          <cell r="C182" t="str">
            <v>CT投信会社</v>
          </cell>
          <cell r="D182" t="str">
            <v>varchar</v>
          </cell>
          <cell r="E182">
            <v>20</v>
          </cell>
        </row>
        <row r="183">
          <cell r="A183" t="str">
            <v>電話番号</v>
          </cell>
          <cell r="B183" t="str">
            <v>CT受託銀行</v>
          </cell>
          <cell r="C183" t="str">
            <v>CT投信会社</v>
          </cell>
          <cell r="D183" t="str">
            <v>varchar</v>
          </cell>
          <cell r="E183">
            <v>20</v>
          </cell>
        </row>
        <row r="184">
          <cell r="A184" t="str">
            <v>電話番号</v>
          </cell>
          <cell r="B184" t="str">
            <v>CT投信会社</v>
          </cell>
          <cell r="C184" t="str">
            <v>CT投信会社</v>
          </cell>
          <cell r="D184" t="str">
            <v>varchar</v>
          </cell>
          <cell r="E184">
            <v>20</v>
          </cell>
        </row>
        <row r="185">
          <cell r="A185" t="str">
            <v>電話番号2</v>
          </cell>
          <cell r="B185" t="str">
            <v>CT受託銀行</v>
          </cell>
          <cell r="C185" t="str">
            <v>CT投信会社</v>
          </cell>
          <cell r="D185" t="str">
            <v>varchar</v>
          </cell>
          <cell r="E185">
            <v>20</v>
          </cell>
        </row>
        <row r="186">
          <cell r="A186" t="str">
            <v>都道府県コード</v>
          </cell>
          <cell r="B186" t="str">
            <v>CT市区町村</v>
          </cell>
          <cell r="C186" t="str">
            <v>CT投信会社</v>
          </cell>
          <cell r="D186" t="str">
            <v>varchar</v>
          </cell>
          <cell r="E186">
            <v>2</v>
          </cell>
        </row>
        <row r="187">
          <cell r="A187" t="str">
            <v>都道府県コード</v>
          </cell>
          <cell r="B187" t="str">
            <v>CT都道府県</v>
          </cell>
          <cell r="C187" t="str">
            <v>CT投信会社</v>
          </cell>
          <cell r="D187" t="str">
            <v>varchar</v>
          </cell>
          <cell r="E187">
            <v>4</v>
          </cell>
        </row>
        <row r="188">
          <cell r="A188" t="str">
            <v>都道府県コード</v>
          </cell>
          <cell r="B188" t="str">
            <v>CT支店</v>
          </cell>
          <cell r="C188" t="str">
            <v>CT投信会社</v>
          </cell>
          <cell r="D188" t="str">
            <v>varchar</v>
          </cell>
          <cell r="E188">
            <v>2</v>
          </cell>
        </row>
        <row r="189">
          <cell r="A189" t="str">
            <v>都道府県名</v>
          </cell>
          <cell r="B189" t="str">
            <v>CT都道府県</v>
          </cell>
          <cell r="C189" t="str">
            <v>CT投信会社</v>
          </cell>
          <cell r="D189" t="str">
            <v>varchar</v>
          </cell>
          <cell r="E189">
            <v>12</v>
          </cell>
        </row>
        <row r="190">
          <cell r="A190" t="str">
            <v>都道府県名</v>
          </cell>
          <cell r="B190" t="str">
            <v>CT郵便番号</v>
          </cell>
          <cell r="C190" t="str">
            <v>CT投信会社</v>
          </cell>
          <cell r="D190" t="str">
            <v>varchar</v>
          </cell>
          <cell r="E190">
            <v>12</v>
          </cell>
        </row>
        <row r="191">
          <cell r="A191" t="str">
            <v>投信会社コード</v>
          </cell>
          <cell r="B191" t="str">
            <v>CT投信会社</v>
          </cell>
          <cell r="C191" t="str">
            <v>CT投信会社</v>
          </cell>
          <cell r="D191" t="str">
            <v>varchar</v>
          </cell>
          <cell r="E191">
            <v>50</v>
          </cell>
        </row>
        <row r="192">
          <cell r="A192" t="str">
            <v>投信会社名</v>
          </cell>
          <cell r="B192" t="str">
            <v>CT投信会社</v>
          </cell>
          <cell r="C192" t="str">
            <v>CT投信会社</v>
          </cell>
          <cell r="D192" t="str">
            <v>varchar</v>
          </cell>
          <cell r="E192">
            <v>50</v>
          </cell>
        </row>
        <row r="193">
          <cell r="A193" t="str">
            <v>日</v>
          </cell>
          <cell r="B193" t="str">
            <v>CT休日_月日指定</v>
          </cell>
          <cell r="C193" t="str">
            <v>CT投信会社</v>
          </cell>
          <cell r="D193" t="str">
            <v>varchar</v>
          </cell>
          <cell r="E193">
            <v>255</v>
          </cell>
        </row>
        <row r="194">
          <cell r="A194" t="str">
            <v>入出金経路コード</v>
          </cell>
          <cell r="B194" t="str">
            <v>CT入出金経路</v>
          </cell>
          <cell r="C194" t="str">
            <v>CT投信会社</v>
          </cell>
          <cell r="D194" t="str">
            <v>varchar</v>
          </cell>
          <cell r="E194">
            <v>50</v>
          </cell>
        </row>
        <row r="195">
          <cell r="A195" t="str">
            <v>入出金経路コード</v>
          </cell>
          <cell r="B195" t="str">
            <v>CT受託銀行</v>
          </cell>
          <cell r="C195" t="str">
            <v>CT入出金経路</v>
          </cell>
          <cell r="D195" t="str">
            <v>varchar</v>
          </cell>
          <cell r="E195">
            <v>2</v>
          </cell>
        </row>
        <row r="196">
          <cell r="A196" t="str">
            <v>入出金経路コード</v>
          </cell>
          <cell r="B196" t="str">
            <v>CT投信会社</v>
          </cell>
          <cell r="C196" t="str">
            <v>CT入出金経路</v>
          </cell>
          <cell r="D196" t="str">
            <v>varchar</v>
          </cell>
          <cell r="E196">
            <v>2</v>
          </cell>
        </row>
        <row r="197">
          <cell r="A197" t="str">
            <v>認証印字出力区分</v>
          </cell>
          <cell r="B197" t="str">
            <v>CTユーザ会社名</v>
          </cell>
          <cell r="C197" t="str">
            <v>CT保有月数</v>
          </cell>
          <cell r="D197" t="str">
            <v>bit</v>
          </cell>
          <cell r="E197">
            <v>50</v>
          </cell>
        </row>
        <row r="198">
          <cell r="A198" t="str">
            <v>年月日</v>
          </cell>
          <cell r="B198" t="str">
            <v>CT休日_春分秋分</v>
          </cell>
          <cell r="C198" t="str">
            <v>CT保有月数</v>
          </cell>
          <cell r="D198" t="str">
            <v>int</v>
          </cell>
        </row>
        <row r="199">
          <cell r="A199" t="str">
            <v>番号桁数</v>
          </cell>
          <cell r="B199" t="str">
            <v>CT受託銀行</v>
          </cell>
          <cell r="C199" t="str">
            <v>CT法人区分</v>
          </cell>
          <cell r="D199" t="str">
            <v>int</v>
          </cell>
          <cell r="E199">
            <v>2</v>
          </cell>
        </row>
        <row r="200">
          <cell r="A200" t="str">
            <v>番号桁数2</v>
          </cell>
          <cell r="B200" t="str">
            <v>CT受託銀行</v>
          </cell>
          <cell r="C200" t="str">
            <v>CT法人区分</v>
          </cell>
          <cell r="D200" t="str">
            <v>int</v>
          </cell>
          <cell r="E200">
            <v>50</v>
          </cell>
        </row>
        <row r="201">
          <cell r="A201" t="str">
            <v>備考</v>
          </cell>
          <cell r="B201" t="str">
            <v>CT受託銀行</v>
          </cell>
          <cell r="C201" t="str">
            <v>CT法人区分</v>
          </cell>
          <cell r="D201" t="str">
            <v>varchar</v>
          </cell>
          <cell r="E201">
            <v>255</v>
          </cell>
        </row>
        <row r="202">
          <cell r="A202" t="str">
            <v>備考</v>
          </cell>
          <cell r="B202" t="str">
            <v>CT投信会社</v>
          </cell>
          <cell r="C202" t="str">
            <v>CT法人区分_分類</v>
          </cell>
          <cell r="D202" t="str">
            <v>varchar</v>
          </cell>
          <cell r="E202">
            <v>255</v>
          </cell>
        </row>
        <row r="203">
          <cell r="A203" t="str">
            <v>表示位置</v>
          </cell>
          <cell r="B203" t="str">
            <v>CT帳面文言</v>
          </cell>
          <cell r="C203" t="str">
            <v>CT法人区分_分類</v>
          </cell>
          <cell r="D203" t="str">
            <v>varchar</v>
          </cell>
          <cell r="E203">
            <v>50</v>
          </cell>
        </row>
        <row r="204">
          <cell r="A204" t="str">
            <v>分類</v>
          </cell>
          <cell r="B204" t="str">
            <v>CT法人区分_分類</v>
          </cell>
          <cell r="C204" t="str">
            <v>○</v>
          </cell>
          <cell r="D204" t="str">
            <v>varchar</v>
          </cell>
          <cell r="E204">
            <v>2</v>
          </cell>
        </row>
        <row r="205">
          <cell r="A205" t="str">
            <v>分類</v>
          </cell>
          <cell r="B205" t="str">
            <v>CT法人区分</v>
          </cell>
          <cell r="C205" t="str">
            <v>CT本人確認書類</v>
          </cell>
          <cell r="D205" t="str">
            <v>varchar</v>
          </cell>
          <cell r="E205">
            <v>2</v>
          </cell>
        </row>
        <row r="206">
          <cell r="A206" t="str">
            <v>文言</v>
          </cell>
          <cell r="B206" t="str">
            <v>CT帳面文言</v>
          </cell>
          <cell r="C206" t="str">
            <v>CT名義人区分</v>
          </cell>
          <cell r="D206" t="str">
            <v>varchar</v>
          </cell>
          <cell r="E206">
            <v>255</v>
          </cell>
        </row>
        <row r="207">
          <cell r="A207" t="str">
            <v>保有月数</v>
          </cell>
          <cell r="B207" t="str">
            <v>CT保有月数</v>
          </cell>
          <cell r="C207" t="str">
            <v>CT名義人区分</v>
          </cell>
          <cell r="D207" t="str">
            <v>int</v>
          </cell>
          <cell r="E207">
            <v>20</v>
          </cell>
        </row>
        <row r="208">
          <cell r="A208" t="str">
            <v>法人区分コード</v>
          </cell>
          <cell r="B208" t="str">
            <v>CT法人区分</v>
          </cell>
          <cell r="C208" t="str">
            <v>○</v>
          </cell>
          <cell r="D208" t="str">
            <v>varchar</v>
          </cell>
          <cell r="E208">
            <v>2</v>
          </cell>
        </row>
        <row r="209">
          <cell r="A209" t="str">
            <v>名義人区分コード</v>
          </cell>
          <cell r="B209" t="str">
            <v>CT名義人区分</v>
          </cell>
          <cell r="C209" t="str">
            <v>CT約定方法</v>
          </cell>
          <cell r="D209" t="str">
            <v>varchar</v>
          </cell>
          <cell r="E209">
            <v>12</v>
          </cell>
        </row>
        <row r="210">
          <cell r="A210" t="str">
            <v>約定方法コード</v>
          </cell>
          <cell r="B210" t="str">
            <v>CT約定方法</v>
          </cell>
          <cell r="C210" t="str">
            <v>○</v>
          </cell>
          <cell r="D210" t="str">
            <v>varchar</v>
          </cell>
          <cell r="E210">
            <v>2</v>
          </cell>
        </row>
        <row r="211">
          <cell r="A211" t="str">
            <v>有価証券取引税率</v>
          </cell>
          <cell r="B211" t="str">
            <v>CT有価証券取引税</v>
          </cell>
          <cell r="C211" t="str">
            <v>CT有価証券取引税</v>
          </cell>
          <cell r="D211" t="str">
            <v>money</v>
          </cell>
        </row>
        <row r="212">
          <cell r="A212" t="str">
            <v>郵便番号</v>
          </cell>
          <cell r="B212" t="str">
            <v>CT郵便番号</v>
          </cell>
          <cell r="C212" t="str">
            <v>CT有価証券取引税</v>
          </cell>
          <cell r="D212" t="str">
            <v>money</v>
          </cell>
          <cell r="E212">
            <v>8</v>
          </cell>
        </row>
        <row r="213">
          <cell r="A213" t="str">
            <v>郵便番号</v>
          </cell>
          <cell r="B213" t="str">
            <v>CT支店</v>
          </cell>
          <cell r="C213" t="str">
            <v>CT郵便番号</v>
          </cell>
          <cell r="D213" t="str">
            <v>varchar</v>
          </cell>
          <cell r="E213">
            <v>8</v>
          </cell>
        </row>
        <row r="214">
          <cell r="A214" t="str">
            <v>預り区分コード</v>
          </cell>
          <cell r="B214" t="str">
            <v>CT預り区分</v>
          </cell>
          <cell r="C214" t="str">
            <v>CT郵便番号</v>
          </cell>
          <cell r="D214" t="str">
            <v>varchar</v>
          </cell>
          <cell r="E214">
            <v>50</v>
          </cell>
        </row>
        <row r="215">
          <cell r="A215" t="str">
            <v>預り指定</v>
          </cell>
          <cell r="B215" t="str">
            <v>CT預り指定</v>
          </cell>
          <cell r="C215" t="str">
            <v>CT郵便番号</v>
          </cell>
          <cell r="D215" t="str">
            <v>varchar</v>
          </cell>
          <cell r="E215">
            <v>128</v>
          </cell>
        </row>
        <row r="216">
          <cell r="A216" t="str">
            <v>曜日</v>
          </cell>
          <cell r="B216" t="str">
            <v>CT休日_曜日指定</v>
          </cell>
          <cell r="C216" t="str">
            <v>CT郵便番号</v>
          </cell>
          <cell r="D216" t="str">
            <v>varchar</v>
          </cell>
          <cell r="E216">
            <v>12</v>
          </cell>
        </row>
        <row r="217">
          <cell r="A217" t="str">
            <v>用紙様式</v>
          </cell>
          <cell r="B217" t="str">
            <v>CT帳票名</v>
          </cell>
          <cell r="C217" t="str">
            <v>CT預り区分</v>
          </cell>
          <cell r="D217" t="str">
            <v>varchar</v>
          </cell>
          <cell r="E217">
            <v>20</v>
          </cell>
        </row>
        <row r="218">
          <cell r="A218" t="str">
            <v>連絡者</v>
          </cell>
          <cell r="B218" t="str">
            <v>CT受託銀行</v>
          </cell>
          <cell r="C218" t="str">
            <v>CT預り区分</v>
          </cell>
          <cell r="D218" t="str">
            <v>varchar</v>
          </cell>
          <cell r="E218">
            <v>50</v>
          </cell>
        </row>
        <row r="219">
          <cell r="A219" t="str">
            <v>連絡者</v>
          </cell>
          <cell r="B219" t="str">
            <v>CT投信会社</v>
          </cell>
          <cell r="C219" t="str">
            <v>CT預り指定</v>
          </cell>
          <cell r="D219" t="str">
            <v>varchar</v>
          </cell>
          <cell r="E219">
            <v>50</v>
          </cell>
        </row>
        <row r="220">
          <cell r="A220" t="str">
            <v>連絡者2</v>
          </cell>
          <cell r="B220" t="str">
            <v>CT受託銀行</v>
          </cell>
          <cell r="C220" t="str">
            <v>CT預り指定</v>
          </cell>
          <cell r="D220" t="str">
            <v>varchar</v>
          </cell>
          <cell r="E220">
            <v>50</v>
          </cell>
        </row>
      </sheetData>
      <sheetData sheetId="2">
        <row r="2">
          <cell r="A2" t="str">
            <v>EMAIL</v>
          </cell>
        </row>
      </sheetData>
      <sheetData sheetId="3">
        <row r="2">
          <cell r="A2" t="str">
            <v>１．ＲＤ</v>
          </cell>
        </row>
      </sheetData>
      <sheetData sheetId="4">
        <row r="2">
          <cell r="A2" t="str">
            <v>１．ＲＤ</v>
          </cell>
        </row>
      </sheetData>
      <sheetData sheetId="5">
        <row r="2">
          <cell r="A2" t="str">
            <v>１．ＲＤ</v>
          </cell>
        </row>
      </sheetData>
      <sheetData sheetId="6"/>
      <sheetData sheetId="7">
        <row r="2">
          <cell r="A2" t="str">
            <v>１．ＲＤ</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ow r="2">
          <cell r="B2" t="str">
            <v>依頼先：</v>
          </cell>
        </row>
      </sheetData>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ow r="2">
          <cell r="B2" t="str">
            <v>依頼先：</v>
          </cell>
        </row>
      </sheetData>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ow r="2">
          <cell r="A2">
            <v>0</v>
          </cell>
        </row>
      </sheetData>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sheetData sheetId="252"/>
      <sheetData sheetId="253"/>
      <sheetData sheetId="254"/>
      <sheetData sheetId="255"/>
      <sheetData sheetId="256"/>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sheetData sheetId="272"/>
      <sheetData sheetId="273"/>
      <sheetData sheetId="274" refreshError="1"/>
      <sheetData sheetId="275" refreshError="1"/>
      <sheetData sheetId="276" refreshError="1"/>
      <sheetData sheetId="277" refreshError="1"/>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sheetData sheetId="300"/>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sheetData sheetId="337"/>
      <sheetData sheetId="338" refreshError="1"/>
      <sheetData sheetId="339" refreshError="1"/>
      <sheetData sheetId="340" refreshError="1"/>
      <sheetData sheetId="341" refreshError="1"/>
      <sheetData sheetId="342" refreshError="1"/>
      <sheetData sheetId="343" refreshError="1"/>
      <sheetData sheetId="344"/>
      <sheetData sheetId="345"/>
      <sheetData sheetId="346"/>
      <sheetData sheetId="347"/>
      <sheetData sheetId="348"/>
      <sheetData sheetId="349" refreshError="1"/>
      <sheetData sheetId="350"/>
      <sheetData sheetId="351" refreshError="1"/>
      <sheetData sheetId="352" refreshError="1"/>
      <sheetData sheetId="353" refreshError="1"/>
      <sheetData sheetId="354" refreshError="1"/>
      <sheetData sheetId="355"/>
      <sheetData sheetId="356"/>
      <sheetData sheetId="357"/>
      <sheetData sheetId="358"/>
      <sheetData sheetId="359"/>
      <sheetData sheetId="360"/>
      <sheetData sheetId="361"/>
      <sheetData sheetId="362"/>
      <sheetData sheetId="363"/>
      <sheetData sheetId="364"/>
      <sheetData sheetId="365"/>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sheetData sheetId="394"/>
      <sheetData sheetId="395"/>
      <sheetData sheetId="396"/>
      <sheetData sheetId="397" refreshError="1"/>
      <sheetData sheetId="398" refreshError="1"/>
      <sheetData sheetId="399" refreshError="1"/>
      <sheetData sheetId="400"/>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sheetName val="ジョブ一覧"/>
      <sheetName val="ジョブ機能(共通）"/>
      <sheetName val="ジョブ機能 (個別)"/>
      <sheetName val="ﾌﾟﾛｸﾞﾗﾑ一覧"/>
      <sheetName val="ﾌﾟﾛｸﾞﾗﾑ一覧 (2)"/>
      <sheetName val="機能一覧(共通）"/>
      <sheetName val="機能一覧 (個別)"/>
      <sheetName val="ﾌｧｲﾙ一覧"/>
      <sheetName val="帳票一覧"/>
      <sheetName val="ﾃﾞｰﾀ項目一覧"/>
      <sheetName val="メソッド定義"/>
      <sheetName val="区分_品証本"/>
      <sheetName val="現行DB一覧2(CT)"/>
      <sheetName val="ＶＢ要件定義成果物"/>
    </sheetNames>
    <sheetDataSet>
      <sheetData sheetId="0" refreshError="1">
        <row r="2">
          <cell r="B2" t="str">
            <v>共通（口振・振込）</v>
          </cell>
        </row>
        <row r="3">
          <cell r="B3" t="str">
            <v>共通（口振）</v>
          </cell>
        </row>
        <row r="4">
          <cell r="B4" t="str">
            <v>共通（振込）</v>
          </cell>
        </row>
        <row r="5">
          <cell r="B5" t="str">
            <v>個社別</v>
          </cell>
        </row>
        <row r="6">
          <cell r="B6" t="str">
            <v>廃止・未使用</v>
          </cell>
        </row>
        <row r="7">
          <cell r="B7" t="str">
            <v>九州電力</v>
          </cell>
        </row>
        <row r="8">
          <cell r="B8" t="str">
            <v>西鉄・九電工</v>
          </cell>
        </row>
        <row r="9">
          <cell r="B9" t="str">
            <v>ＭＴ編集</v>
          </cell>
        </row>
        <row r="10">
          <cell r="B10" t="str">
            <v>ＦＡＸ－ＯＣＲ</v>
          </cell>
        </row>
        <row r="11">
          <cell r="B11" t="str">
            <v>トヨタ自動車</v>
          </cell>
        </row>
        <row r="12">
          <cell r="B12" t="str">
            <v>九工大</v>
          </cell>
        </row>
        <row r="13">
          <cell r="B13" t="str">
            <v>福岡県</v>
          </cell>
        </row>
        <row r="14">
          <cell r="B14" t="str">
            <v>福岡市</v>
          </cell>
        </row>
        <row r="15">
          <cell r="B15" t="str">
            <v>北九州市</v>
          </cell>
        </row>
        <row r="16">
          <cell r="B16" t="str">
            <v>長崎大学</v>
          </cell>
        </row>
        <row r="17">
          <cell r="B17" t="str">
            <v>九州医療センター</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PT工程完了報告書"/>
      <sheetName val="ＰＴ障害状況"/>
      <sheetName val="製造仕様書変更履歴及び疎通推移"/>
      <sheetName val="PT品質集計シート（画面）"/>
      <sheetName val="PT品質集計シート（EJB)"/>
      <sheetName val="PT品質集計シート (業務共通部品)"/>
    </sheetNames>
    <sheetDataSet>
      <sheetData sheetId="0"/>
      <sheetData sheetId="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テーブル一覧"/>
      <sheetName val="Ｅ００１"/>
      <sheetName val="Ｅ００２"/>
      <sheetName val="Ｅ００３"/>
      <sheetName val="Ｅ００４"/>
      <sheetName val="Ｅ００５"/>
      <sheetName val="Ｅ００６"/>
      <sheetName val="参照"/>
      <sheetName val="ｐｔ障害状況"/>
    </sheetNames>
    <sheetDataSet>
      <sheetData sheetId="0"/>
      <sheetData sheetId="1"/>
      <sheetData sheetId="2"/>
      <sheetData sheetId="3"/>
      <sheetData sheetId="4"/>
      <sheetData sheetId="5"/>
      <sheetData sheetId="6"/>
      <sheetData sheetId="7" refreshError="1">
        <row r="6">
          <cell r="C6" t="str">
            <v>００１</v>
          </cell>
          <cell r="D6" t="str">
            <v>融資統合ＤＢ</v>
          </cell>
        </row>
        <row r="7">
          <cell r="C7" t="str">
            <v>００２</v>
          </cell>
          <cell r="D7" t="str">
            <v>ＤＷＨ</v>
          </cell>
        </row>
        <row r="8">
          <cell r="C8" t="str">
            <v>９９９</v>
          </cell>
          <cell r="D8" t="str">
            <v>その他</v>
          </cell>
        </row>
      </sheetData>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表紙"/>
      <sheetName val="一覧"/>
      <sheetName val="遷移図 "/>
      <sheetName val="遷移図"/>
      <sheetName val="Ｃ１"/>
      <sheetName val="C1@"/>
      <sheetName val="IO１"/>
      <sheetName val="ＥＶ（０）"/>
      <sheetName val="ＥＶ（１）"/>
      <sheetName val="ＥＶ（２）"/>
      <sheetName val="Ｓ１"/>
      <sheetName val="Ｓ１＠"/>
      <sheetName val="Sheet4"/>
      <sheetName val="Sheet5"/>
      <sheetName val="システム変更案件票"/>
      <sheetName val="ＢＳ科目テーブル"/>
      <sheetName val="Sim基準金利ＴＢ"/>
      <sheetName val="基準金利ＴＢ"/>
      <sheetName val="9月分 "/>
      <sheetName val="10月分 "/>
      <sheetName val="11月分"/>
      <sheetName val="3APP"/>
      <sheetName val="内訳"/>
      <sheetName val="2ｿﾌﾄ"/>
      <sheetName val="1ﾊｰﾄﾞ"/>
      <sheetName val="4導入一時"/>
      <sheetName val="@___"/>
      <sheetName val="データ"/>
      <sheetName val="AAA"/>
      <sheetName val="投信開発G(3)"/>
      <sheetName val="説明書"/>
      <sheetName val="画面一覧（サンプル）"/>
      <sheetName val="TB"/>
      <sheetName val="2.2対象機能"/>
      <sheetName val="集記入力用ｼ-ﾄ"/>
      <sheetName val="勘定科目TABLE"/>
      <sheetName val="部門TABLE"/>
      <sheetName val="営業系目標（算定根拠）"/>
      <sheetName val="目次"/>
      <sheetName val="コード一覧"/>
      <sheetName val="焦付7-3"/>
      <sheetName val="AMS5.修補支援明細"/>
      <sheetName val="合計"/>
      <sheetName val="IRR"/>
      <sheetName val="ファイル概要"/>
      <sheetName val="画面レイアウト"/>
      <sheetName val="画面ID一覧"/>
      <sheetName val="SSA構成図"/>
      <sheetName val="別紙１１，１２"/>
      <sheetName val="ＳＴ進捗管理"/>
      <sheetName val="コール画面"/>
      <sheetName val="マクロ"/>
      <sheetName val="画面仕様書(5_直接変更)"/>
      <sheetName val="コード表"/>
      <sheetName val="勘定分類区分"/>
      <sheetName val="勘定科目中分類"/>
      <sheetName val="遷移図_"/>
      <sheetName val="9月分_"/>
      <sheetName val="10月分_"/>
      <sheetName val="AMS5_修補支援明細"/>
      <sheetName val="採番維持"/>
      <sheetName val="Property"/>
      <sheetName val="対象（業務、顧客・チャネル）一覧表"/>
    </sheetNames>
    <sheetDataSet>
      <sheetData sheetId="0" refreshError="1"/>
      <sheetData sheetId="1" refreshError="1">
        <row r="1">
          <cell r="A1" t="str">
            <v>共通全銀標準</v>
          </cell>
        </row>
        <row r="2">
          <cell r="A2" t="str">
            <v>共通個社別</v>
          </cell>
        </row>
        <row r="3">
          <cell r="A3" t="str">
            <v>福銀個社別</v>
          </cell>
        </row>
        <row r="4">
          <cell r="A4" t="str">
            <v>広銀個社別</v>
          </cell>
        </row>
      </sheetData>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sheetName val="ジョブ一覧"/>
      <sheetName val="ジョブ機能(共通）"/>
      <sheetName val="ジョブ機能 (個別)"/>
      <sheetName val="ﾌﾟﾛｸﾞﾗﾑ一覧"/>
      <sheetName val="ﾌﾟﾛｸﾞﾗﾑ一覧 (2)"/>
      <sheetName val="機能一覧(共通）"/>
      <sheetName val="機能一覧 (個別)"/>
      <sheetName val="ﾌｧｲﾙ一覧"/>
      <sheetName val="帳票一覧"/>
      <sheetName val="ﾃﾞｰﾀ項目一覧"/>
      <sheetName val="参照"/>
      <sheetName val="ｐｔ障害状況"/>
    </sheetNames>
    <sheetDataSet>
      <sheetData sheetId="0" refreshError="1">
        <row r="2">
          <cell r="B2" t="str">
            <v>共通（口振・振込）</v>
          </cell>
        </row>
        <row r="3">
          <cell r="B3" t="str">
            <v>共通（口振）</v>
          </cell>
        </row>
        <row r="4">
          <cell r="B4" t="str">
            <v>共通（振込）</v>
          </cell>
        </row>
        <row r="5">
          <cell r="B5" t="str">
            <v>個社別</v>
          </cell>
        </row>
        <row r="6">
          <cell r="B6" t="str">
            <v>廃止・未使用</v>
          </cell>
        </row>
        <row r="7">
          <cell r="B7" t="str">
            <v>九州電力</v>
          </cell>
        </row>
        <row r="8">
          <cell r="B8" t="str">
            <v>西鉄・九電工</v>
          </cell>
        </row>
        <row r="9">
          <cell r="B9" t="str">
            <v>ＭＴ編集</v>
          </cell>
        </row>
        <row r="10">
          <cell r="B10" t="str">
            <v>ＦＡＸ－ＯＣＲ</v>
          </cell>
        </row>
        <row r="11">
          <cell r="B11" t="str">
            <v>トヨタ自動車</v>
          </cell>
        </row>
        <row r="12">
          <cell r="B12" t="str">
            <v>九工大</v>
          </cell>
        </row>
        <row r="13">
          <cell r="B13" t="str">
            <v>福岡県</v>
          </cell>
        </row>
        <row r="14">
          <cell r="B14" t="str">
            <v>福岡市</v>
          </cell>
        </row>
        <row r="15">
          <cell r="B15" t="str">
            <v>北九州市</v>
          </cell>
        </row>
        <row r="16">
          <cell r="B16" t="str">
            <v>長崎大学</v>
          </cell>
        </row>
        <row r="17">
          <cell r="B17" t="str">
            <v>九州医療センター</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テーブル一覧"/>
      <sheetName val="Ｅ００１"/>
      <sheetName val="Ｅ００２"/>
      <sheetName val="Ｅ００３"/>
      <sheetName val="Ｅ００４"/>
      <sheetName val="Ｅ００５"/>
      <sheetName val="Ｅ００６"/>
      <sheetName val="参照"/>
      <sheetName val="メソッド定義"/>
      <sheetName val="Sheet2"/>
      <sheetName val="ｐｔ障害状況"/>
    </sheetNames>
    <sheetDataSet>
      <sheetData sheetId="0"/>
      <sheetData sheetId="1"/>
      <sheetData sheetId="2"/>
      <sheetData sheetId="3"/>
      <sheetData sheetId="4"/>
      <sheetData sheetId="5"/>
      <sheetData sheetId="6"/>
      <sheetData sheetId="7" refreshError="1">
        <row r="6">
          <cell r="C6" t="str">
            <v>００１</v>
          </cell>
        </row>
        <row r="27">
          <cell r="C27" t="str">
            <v>CHAR</v>
          </cell>
        </row>
        <row r="28">
          <cell r="C28" t="str">
            <v>ＶＡＲＣＨＡＲ</v>
          </cell>
        </row>
        <row r="29">
          <cell r="C29" t="str">
            <v>ＧＲＡＰＨＩＣ</v>
          </cell>
        </row>
        <row r="30">
          <cell r="C30" t="str">
            <v>ＳＭＡＬＬＩＮＴ</v>
          </cell>
        </row>
        <row r="31">
          <cell r="C31" t="str">
            <v>ＩＮＴＥＧＥＲ</v>
          </cell>
        </row>
        <row r="32">
          <cell r="C32" t="str">
            <v>DEＣＩＭＡＬ</v>
          </cell>
        </row>
        <row r="33">
          <cell r="C33" t="str">
            <v>ＤＡＴＥ</v>
          </cell>
        </row>
        <row r="34">
          <cell r="C34" t="str">
            <v>ＴＩＭＥ</v>
          </cell>
        </row>
        <row r="35">
          <cell r="C35" t="str">
            <v>ＴＩＭＥＳＴＡＭＰ</v>
          </cell>
        </row>
        <row r="36">
          <cell r="C36" t="str">
            <v>ＣＬＯＢ</v>
          </cell>
        </row>
        <row r="37">
          <cell r="C37" t="str">
            <v>ＤＢＣＬＯＢ</v>
          </cell>
        </row>
        <row r="38">
          <cell r="C38" t="str">
            <v>ＢＬＯＢ</v>
          </cell>
        </row>
        <row r="39">
          <cell r="C39" t="str">
            <v>ＤＡＴＡＬＩＮＫ</v>
          </cell>
        </row>
      </sheetData>
      <sheetData sheetId="8" refreshError="1"/>
      <sheetData sheetId="9" refreshError="1"/>
      <sheetData sheetId="1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ファイル提供形式"/>
    </sheetNames>
    <sheetDataSet>
      <sheetData sheetId="0"/>
      <sheetData sheetId="1">
        <row r="7">
          <cell r="A7">
            <v>1</v>
          </cell>
          <cell r="C7">
            <v>41729</v>
          </cell>
        </row>
      </sheetData>
      <sheetData sheetId="2"/>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hyperlink" Target="https://www.mhlw.go.jp/stf/seisakunitsuite/bunya/tyukaku.html" TargetMode="External"/><Relationship Id="rId1" Type="http://schemas.openxmlformats.org/officeDocument/2006/relationships/hyperlink" Target="https://www.iryokikan.info/"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athena.ohdsi.org/search-terms/terms?domain=Gender&amp;standardConcept=Standard&amp;page=1&amp;pageSize=30&amp;query=" TargetMode="External"/><Relationship Id="rId1" Type="http://schemas.openxmlformats.org/officeDocument/2006/relationships/hyperlink" Target="https://athena.ohdsi.org/search-terms/terms?domain=Gender&amp;standardConcept=Standard&amp;page=1&amp;pageSize=30&amp;query="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athena.ohdsi.org/search-terms/terms?domain=Visit&amp;standardConcept=Standard&amp;page=1&amp;pageSize=15&amp;query=" TargetMode="External"/><Relationship Id="rId2" Type="http://schemas.openxmlformats.org/officeDocument/2006/relationships/hyperlink" Target="https://athena.ohdsi.org/search-terms/terms?domain=Type+Concept&amp;standardConcept=Standard&amp;page=1&amp;pageSize=15&amp;query=" TargetMode="External"/><Relationship Id="rId1" Type="http://schemas.openxmlformats.org/officeDocument/2006/relationships/hyperlink" Target="https://athena.ohdsi.org/search-terms/terms?domain=Visit&amp;standardConcept=Standard&amp;page=1&amp;pageSize=15&amp;query=" TargetMode="External"/><Relationship Id="rId4"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athena.ohdsi.org/search-terms/terms?domain=Type+Concept&amp;standardConcept=Standard&amp;page=1&amp;pageSize=15&amp;query=" TargetMode="External"/><Relationship Id="rId1" Type="http://schemas.openxmlformats.org/officeDocument/2006/relationships/hyperlink" Target="https://athena.ohdsi.org/search-terms/terms?domain=Visit&amp;standardConcept=Standard&amp;page=1&amp;pageSize=15&amp;query="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athena.ohdsi.org/search-terms/terms?domain=Type+Concept&amp;standardConcept=Standard&amp;page=1&amp;pageSize=15&amp;query="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github.com/OHDSI/Vocabulary-v5.0/wiki/Vocab.-TYPE_CONCEPT" TargetMode="External"/><Relationship Id="rId2" Type="http://schemas.openxmlformats.org/officeDocument/2006/relationships/hyperlink" Target="https://athena.ohdsi.org/search-terms/terms?domain=Condition+Status&amp;standardConcept=Standard&amp;page=1&amp;pageSize=15&amp;query=" TargetMode="External"/><Relationship Id="rId1" Type="http://schemas.openxmlformats.org/officeDocument/2006/relationships/hyperlink" Target="https://athena.ohdsi.org/search-terms/terms?domain=Condition&amp;standardConcept=Standard&amp;page=1&amp;pageSize=15&amp;query=" TargetMode="External"/><Relationship Id="rId5" Type="http://schemas.openxmlformats.org/officeDocument/2006/relationships/printerSettings" Target="../printerSettings/printerSettings9.bin"/><Relationship Id="rId4" Type="http://schemas.openxmlformats.org/officeDocument/2006/relationships/hyperlink" Target="https://athena.ohdsi.org/search-terms/terms?domain=Condition&amp;vocabulary=ICD10&amp;page=1&amp;pageSize=15&amp;query="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athena.ohdsi.org/search-terms/terms?domain=Unit&amp;standardConcept=Standard&amp;page=1&amp;pageSize=15&amp;query=" TargetMode="External"/><Relationship Id="rId2" Type="http://schemas.openxmlformats.org/officeDocument/2006/relationships/hyperlink" Target="https://athena.ohdsi.org/search-terms/terms?domain=Drug&amp;standardConcept=Standard&amp;page=1&amp;pageSize=30&amp;query=" TargetMode="External"/><Relationship Id="rId1" Type="http://schemas.openxmlformats.org/officeDocument/2006/relationships/hyperlink" Target="https://athena.ohdsi.org/search-terms/terms?conceptClass=Type+Concept&amp;page=1&amp;pageSize=30&amp;query=" TargetMode="External"/><Relationship Id="rId5" Type="http://schemas.openxmlformats.org/officeDocument/2006/relationships/printerSettings" Target="../printerSettings/printerSettings10.bin"/><Relationship Id="rId4" Type="http://schemas.openxmlformats.org/officeDocument/2006/relationships/hyperlink" Target="https://athena.ohdsi.org/search-terms/terms?domain=Route&amp;standardConcept=Standard&amp;page=1&amp;pageSize=15&amp;query="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athena.ohdsi.org/search-terms/terms?domain=Route&amp;standardConcept=Standard&amp;page=1&amp;pageSize=15&amp;query=" TargetMode="External"/><Relationship Id="rId2" Type="http://schemas.openxmlformats.org/officeDocument/2006/relationships/hyperlink" Target="https://athena.ohdsi.org/search-terms/terms?domain=Drug&amp;standardConcept=Standard&amp;page=1&amp;pageSize=30&amp;query=" TargetMode="External"/><Relationship Id="rId1" Type="http://schemas.openxmlformats.org/officeDocument/2006/relationships/hyperlink" Target="https://athena.ohdsi.org/search-terms/terms?conceptClass=Type+Concept&amp;page=1&amp;pageSize=30&amp;query=" TargetMode="External"/><Relationship Id="rId5" Type="http://schemas.openxmlformats.org/officeDocument/2006/relationships/printerSettings" Target="../printerSettings/printerSettings11.bin"/><Relationship Id="rId4" Type="http://schemas.openxmlformats.org/officeDocument/2006/relationships/hyperlink" Target="https://athena.ohdsi.org/search-terms/terms?domain=Drug&amp;standardConcept=Standard&amp;page=1&amp;pageSize=15&amp;query=" TargetMode="External"/></Relationships>
</file>

<file path=xl/worksheets/_rels/sheet15.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hyperlink" Target="https://athena.ohdsi.org/search-terms/terms?domain=Measurement&amp;standardConcept=Standard&amp;page=1&amp;pageSize=15&amp;query=" TargetMode="External"/><Relationship Id="rId7" Type="http://schemas.openxmlformats.org/officeDocument/2006/relationships/hyperlink" Target="https://athena.ohdsi.org/search-terms/terms?domain=Unit&amp;standardConcept=Standard&amp;page=1&amp;pageSize=15&amp;query=" TargetMode="External"/><Relationship Id="rId2" Type="http://schemas.openxmlformats.org/officeDocument/2006/relationships/hyperlink" Target="https://athena.ohdsi.org/search-terms/terms?domain=Meas+Value+Operator&amp;standardConcept=Standard&amp;page=1&amp;pageSize=15&amp;query=" TargetMode="External"/><Relationship Id="rId1" Type="http://schemas.openxmlformats.org/officeDocument/2006/relationships/hyperlink" Target="https://athena.ohdsi.org/search-terms/terms?domain=Type+Concept&amp;standardConcept=Standard&amp;page=1&amp;pageSize=15&amp;query=" TargetMode="External"/><Relationship Id="rId6" Type="http://schemas.openxmlformats.org/officeDocument/2006/relationships/hyperlink" Target="https://athena.ohdsi.org/search-terms/terms?domain=Measurement&amp;standardConcept=Standard&amp;page=1&amp;pageSize=15&amp;query=" TargetMode="External"/><Relationship Id="rId5" Type="http://schemas.openxmlformats.org/officeDocument/2006/relationships/hyperlink" Target="https://athena.ohdsi.org/search-terms/terms?domain=Meas+Value&amp;standardConcept=Standard&amp;page=1&amp;pageSize=15&amp;query=" TargetMode="External"/><Relationship Id="rId4" Type="http://schemas.openxmlformats.org/officeDocument/2006/relationships/hyperlink" Target="https://athena.ohdsi.org/search-terms/terms?domain=Unit&amp;standardConcept=Standard&amp;page=1&amp;pageSize=15&amp;query=" TargetMode="External"/></Relationships>
</file>

<file path=xl/worksheets/_rels/sheet16.xml.rels><?xml version="1.0" encoding="UTF-8" standalone="yes"?>
<Relationships xmlns="http://schemas.openxmlformats.org/package/2006/relationships"><Relationship Id="rId2" Type="http://schemas.openxmlformats.org/officeDocument/2006/relationships/hyperlink" Target="https://athena.ohdsi.org/search-terms/terms?domain=Specimen&amp;standardConcept=Standard&amp;page=1&amp;pageSize=15&amp;query=" TargetMode="External"/><Relationship Id="rId1" Type="http://schemas.openxmlformats.org/officeDocument/2006/relationships/hyperlink" Target="https://athena.ohdsi.org/search-terms/terms?domain=Type+Concept&amp;standardConcept=Standard&amp;page=1&amp;pageSize=15&amp;query=" TargetMode="Externa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2.xml.rels><?xml version="1.0" encoding="UTF-8" standalone="yes"?>
<Relationships xmlns="http://schemas.openxmlformats.org/package/2006/relationships"><Relationship Id="rId8" Type="http://schemas.openxmlformats.org/officeDocument/2006/relationships/hyperlink" Target="https://athena.ohdsi.org/search-terms/terms/32897" TargetMode="External"/><Relationship Id="rId13" Type="http://schemas.openxmlformats.org/officeDocument/2006/relationships/hyperlink" Target="https://athena.ohdsi.org/search-terms/terms/32902" TargetMode="External"/><Relationship Id="rId18" Type="http://schemas.openxmlformats.org/officeDocument/2006/relationships/hyperlink" Target="https://athena.ohdsi.org/search-terms/terms/32907" TargetMode="External"/><Relationship Id="rId3" Type="http://schemas.openxmlformats.org/officeDocument/2006/relationships/hyperlink" Target="https://athena.ohdsi.org/search-terms/terms/32892" TargetMode="External"/><Relationship Id="rId21" Type="http://schemas.openxmlformats.org/officeDocument/2006/relationships/hyperlink" Target="https://athena.ohdsi.org/search-terms/terms/32910" TargetMode="External"/><Relationship Id="rId7" Type="http://schemas.openxmlformats.org/officeDocument/2006/relationships/hyperlink" Target="https://athena.ohdsi.org/search-terms/terms/32896" TargetMode="External"/><Relationship Id="rId12" Type="http://schemas.openxmlformats.org/officeDocument/2006/relationships/hyperlink" Target="https://athena.ohdsi.org/search-terms/terms/32901" TargetMode="External"/><Relationship Id="rId17" Type="http://schemas.openxmlformats.org/officeDocument/2006/relationships/hyperlink" Target="https://athena.ohdsi.org/search-terms/terms/32906" TargetMode="External"/><Relationship Id="rId2" Type="http://schemas.openxmlformats.org/officeDocument/2006/relationships/hyperlink" Target="https://athena.ohdsi.org/search-terms/terms/32891" TargetMode="External"/><Relationship Id="rId16" Type="http://schemas.openxmlformats.org/officeDocument/2006/relationships/hyperlink" Target="https://athena.ohdsi.org/search-terms/terms/32905" TargetMode="External"/><Relationship Id="rId20" Type="http://schemas.openxmlformats.org/officeDocument/2006/relationships/hyperlink" Target="https://athena.ohdsi.org/search-terms/terms/32909" TargetMode="External"/><Relationship Id="rId1" Type="http://schemas.openxmlformats.org/officeDocument/2006/relationships/hyperlink" Target="https://athena.ohdsi.org/search-terms/terms/32890" TargetMode="External"/><Relationship Id="rId6" Type="http://schemas.openxmlformats.org/officeDocument/2006/relationships/hyperlink" Target="https://athena.ohdsi.org/search-terms/terms/32895" TargetMode="External"/><Relationship Id="rId11" Type="http://schemas.openxmlformats.org/officeDocument/2006/relationships/hyperlink" Target="https://athena.ohdsi.org/search-terms/terms/32900" TargetMode="External"/><Relationship Id="rId5" Type="http://schemas.openxmlformats.org/officeDocument/2006/relationships/hyperlink" Target="https://athena.ohdsi.org/search-terms/terms/32894" TargetMode="External"/><Relationship Id="rId15" Type="http://schemas.openxmlformats.org/officeDocument/2006/relationships/hyperlink" Target="https://athena.ohdsi.org/search-terms/terms/32904" TargetMode="External"/><Relationship Id="rId23" Type="http://schemas.openxmlformats.org/officeDocument/2006/relationships/printerSettings" Target="../printerSettings/printerSettings12.bin"/><Relationship Id="rId10" Type="http://schemas.openxmlformats.org/officeDocument/2006/relationships/hyperlink" Target="https://athena.ohdsi.org/search-terms/terms/32899" TargetMode="External"/><Relationship Id="rId19" Type="http://schemas.openxmlformats.org/officeDocument/2006/relationships/hyperlink" Target="https://athena.ohdsi.org/search-terms/terms/32908" TargetMode="External"/><Relationship Id="rId4" Type="http://schemas.openxmlformats.org/officeDocument/2006/relationships/hyperlink" Target="https://athena.ohdsi.org/search-terms/terms/32893" TargetMode="External"/><Relationship Id="rId9" Type="http://schemas.openxmlformats.org/officeDocument/2006/relationships/hyperlink" Target="https://athena.ohdsi.org/search-terms/terms/32898" TargetMode="External"/><Relationship Id="rId14" Type="http://schemas.openxmlformats.org/officeDocument/2006/relationships/hyperlink" Target="https://athena.ohdsi.org/search-terms/terms/32903" TargetMode="External"/><Relationship Id="rId22" Type="http://schemas.openxmlformats.org/officeDocument/2006/relationships/hyperlink" Target="https://athena.ohdsi.org/search-terms/terms/329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9A7ED-54BD-40D2-A98C-8957D276F7AE}">
  <dimension ref="A8:I14"/>
  <sheetViews>
    <sheetView tabSelected="1" workbookViewId="0"/>
  </sheetViews>
  <sheetFormatPr defaultRowHeight="18.75"/>
  <sheetData>
    <row r="8" spans="1:9" ht="33">
      <c r="A8" s="259" t="s">
        <v>737</v>
      </c>
      <c r="B8" s="260"/>
      <c r="C8" s="260"/>
      <c r="D8" s="260"/>
      <c r="E8" s="260"/>
      <c r="F8" s="260"/>
      <c r="G8" s="260"/>
      <c r="H8" s="260"/>
      <c r="I8" s="260"/>
    </row>
    <row r="9" spans="1:9" ht="33">
      <c r="A9" s="259" t="s">
        <v>738</v>
      </c>
      <c r="B9" s="260"/>
      <c r="C9" s="260"/>
      <c r="D9" s="260"/>
      <c r="E9" s="260"/>
      <c r="F9" s="260"/>
      <c r="G9" s="260"/>
      <c r="H9" s="260"/>
      <c r="I9" s="260"/>
    </row>
    <row r="11" spans="1:9" ht="33">
      <c r="B11" s="119"/>
    </row>
    <row r="13" spans="1:9" ht="33">
      <c r="A13" s="261" t="s">
        <v>739</v>
      </c>
      <c r="B13" s="262"/>
      <c r="C13" s="262"/>
      <c r="D13" s="262"/>
      <c r="E13" s="262"/>
      <c r="F13" s="262"/>
      <c r="G13" s="262"/>
      <c r="H13" s="262"/>
      <c r="I13" s="262"/>
    </row>
    <row r="14" spans="1:9" ht="33">
      <c r="A14" s="263">
        <v>46062</v>
      </c>
      <c r="B14" s="262"/>
      <c r="C14" s="262"/>
      <c r="D14" s="262"/>
      <c r="E14" s="262"/>
      <c r="F14" s="262"/>
      <c r="G14" s="262"/>
      <c r="H14" s="262"/>
      <c r="I14" s="262"/>
    </row>
  </sheetData>
  <mergeCells count="4">
    <mergeCell ref="A8:I8"/>
    <mergeCell ref="A9:I9"/>
    <mergeCell ref="A13:I13"/>
    <mergeCell ref="A14:I14"/>
  </mergeCells>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9EBEC-419D-4645-91E7-B6C690CC4B03}">
  <dimension ref="A1:F13"/>
  <sheetViews>
    <sheetView workbookViewId="0">
      <selection activeCell="C14" sqref="C14"/>
    </sheetView>
  </sheetViews>
  <sheetFormatPr defaultRowHeight="18.75"/>
  <cols>
    <col min="2" max="2" width="8.625" style="154"/>
    <col min="3" max="3" width="11.375" style="155" bestFit="1" customWidth="1"/>
    <col min="4" max="4" width="28.125" customWidth="1"/>
    <col min="5" max="5" width="58.375" style="3" customWidth="1"/>
    <col min="6" max="6" width="13.625" customWidth="1"/>
  </cols>
  <sheetData>
    <row r="1" spans="1:6">
      <c r="A1" s="6" t="s">
        <v>1118</v>
      </c>
    </row>
    <row r="3" spans="1:6">
      <c r="B3" s="254" t="s">
        <v>1119</v>
      </c>
      <c r="C3" s="255" t="s">
        <v>1120</v>
      </c>
      <c r="D3" s="256" t="s">
        <v>1121</v>
      </c>
      <c r="E3" s="257" t="s">
        <v>1123</v>
      </c>
      <c r="F3" s="256" t="s">
        <v>1124</v>
      </c>
    </row>
    <row r="4" spans="1:6">
      <c r="B4" s="154">
        <v>0.1</v>
      </c>
      <c r="C4" s="155">
        <v>45992</v>
      </c>
      <c r="D4" t="s">
        <v>1122</v>
      </c>
      <c r="E4" s="3" t="s">
        <v>1125</v>
      </c>
      <c r="F4" t="s">
        <v>1901</v>
      </c>
    </row>
    <row r="5" spans="1:6" ht="37.5">
      <c r="C5" s="155">
        <v>46042</v>
      </c>
      <c r="D5" t="s">
        <v>406</v>
      </c>
      <c r="E5" s="3" t="s">
        <v>1836</v>
      </c>
      <c r="F5" t="s">
        <v>1901</v>
      </c>
    </row>
    <row r="6" spans="1:6">
      <c r="C6" s="155">
        <v>46043</v>
      </c>
      <c r="D6" t="s">
        <v>117</v>
      </c>
      <c r="E6" s="3" t="s">
        <v>1840</v>
      </c>
      <c r="F6" t="s">
        <v>1901</v>
      </c>
    </row>
    <row r="7" spans="1:6" ht="37.5">
      <c r="C7" s="155">
        <v>46043</v>
      </c>
      <c r="D7" t="s">
        <v>1847</v>
      </c>
      <c r="E7" s="3" t="s">
        <v>1842</v>
      </c>
      <c r="F7" t="s">
        <v>1901</v>
      </c>
    </row>
    <row r="8" spans="1:6" ht="37.5">
      <c r="C8" s="155">
        <v>46043</v>
      </c>
      <c r="D8" t="s">
        <v>1846</v>
      </c>
      <c r="E8" s="3" t="s">
        <v>1845</v>
      </c>
      <c r="F8" t="s">
        <v>1901</v>
      </c>
    </row>
    <row r="9" spans="1:6">
      <c r="C9" s="155">
        <v>46049</v>
      </c>
      <c r="D9" t="s">
        <v>99</v>
      </c>
      <c r="E9" s="3" t="s">
        <v>1852</v>
      </c>
      <c r="F9" t="s">
        <v>1901</v>
      </c>
    </row>
    <row r="10" spans="1:6">
      <c r="C10" s="155">
        <v>46049</v>
      </c>
      <c r="D10" t="s">
        <v>489</v>
      </c>
      <c r="E10" s="3" t="s">
        <v>1851</v>
      </c>
      <c r="F10" t="s">
        <v>1901</v>
      </c>
    </row>
    <row r="11" spans="1:6">
      <c r="C11" s="155">
        <v>46062</v>
      </c>
      <c r="D11" t="s">
        <v>80</v>
      </c>
      <c r="E11" s="3" t="s">
        <v>1872</v>
      </c>
      <c r="F11" t="s">
        <v>1901</v>
      </c>
    </row>
    <row r="12" spans="1:6">
      <c r="C12" s="155">
        <v>46077</v>
      </c>
      <c r="D12" t="s">
        <v>99</v>
      </c>
      <c r="E12" s="3" t="s">
        <v>1899</v>
      </c>
      <c r="F12" t="s">
        <v>1901</v>
      </c>
    </row>
    <row r="13" spans="1:6">
      <c r="D13" t="s">
        <v>117</v>
      </c>
      <c r="E13" s="3" t="s">
        <v>1900</v>
      </c>
      <c r="F13" t="s">
        <v>1901</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DFD97-BF52-4492-9C99-C3E61954C4C4}">
  <sheetPr codeName="Sheet1"/>
  <dimension ref="A1:F42"/>
  <sheetViews>
    <sheetView zoomScale="115" zoomScaleNormal="115" workbookViewId="0"/>
  </sheetViews>
  <sheetFormatPr defaultRowHeight="18.75"/>
  <cols>
    <col min="1" max="1" width="3.125" customWidth="1"/>
    <col min="2" max="2" width="39.625" customWidth="1"/>
    <col min="3" max="3" width="17.125" bestFit="1" customWidth="1"/>
    <col min="4" max="4" width="10.625" style="9" customWidth="1"/>
    <col min="5" max="6" width="44.125" style="11" customWidth="1"/>
  </cols>
  <sheetData>
    <row r="1" spans="1:6">
      <c r="A1" s="6" t="s">
        <v>187</v>
      </c>
    </row>
    <row r="2" spans="1:6" ht="19.5" thickBot="1"/>
    <row r="3" spans="1:6" ht="19.5" thickBot="1">
      <c r="B3" s="39" t="s">
        <v>11</v>
      </c>
      <c r="C3" s="40" t="s">
        <v>188</v>
      </c>
      <c r="D3" s="41" t="s">
        <v>137</v>
      </c>
      <c r="E3" s="42" t="s">
        <v>136</v>
      </c>
      <c r="F3" s="43" t="s">
        <v>199</v>
      </c>
    </row>
    <row r="4" spans="1:6" ht="37.5">
      <c r="B4" s="44" t="s">
        <v>33</v>
      </c>
      <c r="C4" s="45" t="s">
        <v>197</v>
      </c>
      <c r="D4" s="46" t="s">
        <v>138</v>
      </c>
      <c r="E4" s="47" t="s">
        <v>280</v>
      </c>
      <c r="F4" s="48" t="s">
        <v>147</v>
      </c>
    </row>
    <row r="5" spans="1:6">
      <c r="B5" s="35" t="s">
        <v>12</v>
      </c>
      <c r="C5" s="12" t="s">
        <v>191</v>
      </c>
      <c r="D5" s="13" t="s">
        <v>138</v>
      </c>
      <c r="E5" s="34" t="s">
        <v>282</v>
      </c>
      <c r="F5" s="36" t="s">
        <v>158</v>
      </c>
    </row>
    <row r="6" spans="1:6" ht="37.5">
      <c r="B6" s="35" t="s">
        <v>43</v>
      </c>
      <c r="C6" s="12" t="s">
        <v>191</v>
      </c>
      <c r="D6" s="13" t="s">
        <v>138</v>
      </c>
      <c r="E6" s="34" t="s">
        <v>343</v>
      </c>
      <c r="F6" s="36" t="s">
        <v>344</v>
      </c>
    </row>
    <row r="7" spans="1:6" ht="37.5">
      <c r="B7" s="35" t="s">
        <v>41</v>
      </c>
      <c r="C7" s="12" t="s">
        <v>195</v>
      </c>
      <c r="D7" s="13" t="s">
        <v>139</v>
      </c>
      <c r="E7" s="34" t="s">
        <v>302</v>
      </c>
      <c r="F7" s="36" t="s">
        <v>198</v>
      </c>
    </row>
    <row r="8" spans="1:6">
      <c r="B8" s="35" t="s">
        <v>24</v>
      </c>
      <c r="C8" s="12" t="s">
        <v>195</v>
      </c>
      <c r="D8" s="13" t="s">
        <v>139</v>
      </c>
      <c r="E8" s="34" t="s">
        <v>303</v>
      </c>
      <c r="F8" s="36"/>
    </row>
    <row r="9" spans="1:6">
      <c r="B9" s="35" t="s">
        <v>39</v>
      </c>
      <c r="C9" s="12" t="s">
        <v>195</v>
      </c>
      <c r="D9" s="13" t="s">
        <v>139</v>
      </c>
      <c r="E9" s="34" t="s">
        <v>734</v>
      </c>
      <c r="F9" s="36"/>
    </row>
    <row r="10" spans="1:6">
      <c r="B10" s="35" t="s">
        <v>48</v>
      </c>
      <c r="C10" s="12" t="s">
        <v>195</v>
      </c>
      <c r="D10" s="13" t="s">
        <v>139</v>
      </c>
      <c r="E10" s="34" t="s">
        <v>303</v>
      </c>
      <c r="F10" s="36" t="s">
        <v>224</v>
      </c>
    </row>
    <row r="11" spans="1:6">
      <c r="B11" s="35" t="s">
        <v>47</v>
      </c>
      <c r="C11" s="12" t="s">
        <v>195</v>
      </c>
      <c r="D11" s="13" t="s">
        <v>345</v>
      </c>
      <c r="E11" s="34" t="s">
        <v>303</v>
      </c>
      <c r="F11" s="36" t="s">
        <v>346</v>
      </c>
    </row>
    <row r="12" spans="1:6" ht="56.25">
      <c r="B12" s="35" t="s">
        <v>22</v>
      </c>
      <c r="C12" s="12" t="s">
        <v>195</v>
      </c>
      <c r="D12" s="13" t="s">
        <v>139</v>
      </c>
      <c r="E12" s="34" t="s">
        <v>299</v>
      </c>
      <c r="F12" s="36" t="s">
        <v>736</v>
      </c>
    </row>
    <row r="13" spans="1:6" ht="37.5">
      <c r="B13" s="35" t="s">
        <v>28</v>
      </c>
      <c r="C13" s="12" t="s">
        <v>194</v>
      </c>
      <c r="D13" s="13" t="s">
        <v>139</v>
      </c>
      <c r="E13" s="34" t="s">
        <v>300</v>
      </c>
      <c r="F13" s="36" t="s">
        <v>278</v>
      </c>
    </row>
    <row r="14" spans="1:6" ht="37.5">
      <c r="B14" s="35" t="s">
        <v>42</v>
      </c>
      <c r="C14" s="12" t="s">
        <v>195</v>
      </c>
      <c r="D14" s="13" t="s">
        <v>139</v>
      </c>
      <c r="E14" s="34" t="s">
        <v>299</v>
      </c>
      <c r="F14" s="36" t="s">
        <v>735</v>
      </c>
    </row>
    <row r="15" spans="1:6">
      <c r="B15" s="37" t="s">
        <v>298</v>
      </c>
      <c r="C15" s="1" t="s">
        <v>194</v>
      </c>
      <c r="D15" s="8"/>
      <c r="E15" s="10"/>
      <c r="F15" s="38"/>
    </row>
    <row r="16" spans="1:6" ht="75">
      <c r="B16" s="35" t="s">
        <v>34</v>
      </c>
      <c r="C16" s="12" t="s">
        <v>195</v>
      </c>
      <c r="D16" s="13" t="s">
        <v>139</v>
      </c>
      <c r="E16" s="34" t="s">
        <v>301</v>
      </c>
      <c r="F16" s="36" t="s">
        <v>279</v>
      </c>
    </row>
    <row r="17" spans="2:6" ht="75">
      <c r="B17" s="35" t="s">
        <v>38</v>
      </c>
      <c r="C17" s="12" t="s">
        <v>195</v>
      </c>
      <c r="D17" s="13" t="s">
        <v>139</v>
      </c>
      <c r="E17" s="34" t="s">
        <v>301</v>
      </c>
      <c r="F17" s="36" t="s">
        <v>279</v>
      </c>
    </row>
    <row r="18" spans="2:6">
      <c r="B18" s="37" t="s">
        <v>36</v>
      </c>
      <c r="C18" s="1" t="s">
        <v>195</v>
      </c>
      <c r="D18" s="8"/>
      <c r="E18" s="10"/>
      <c r="F18" s="38"/>
    </row>
    <row r="19" spans="2:6">
      <c r="B19" s="37" t="s">
        <v>37</v>
      </c>
      <c r="C19" s="1" t="s">
        <v>195</v>
      </c>
      <c r="D19" s="8"/>
      <c r="E19" s="10"/>
      <c r="F19" s="38"/>
    </row>
    <row r="20" spans="2:6">
      <c r="B20" s="37" t="s">
        <v>30</v>
      </c>
      <c r="C20" s="1" t="s">
        <v>195</v>
      </c>
      <c r="D20" s="8"/>
      <c r="E20" s="10"/>
      <c r="F20" s="38"/>
    </row>
    <row r="21" spans="2:6">
      <c r="B21" s="37" t="s">
        <v>31</v>
      </c>
      <c r="C21" s="1" t="s">
        <v>195</v>
      </c>
      <c r="D21" s="8"/>
      <c r="E21" s="10"/>
      <c r="F21" s="38"/>
    </row>
    <row r="22" spans="2:6">
      <c r="B22" s="37" t="s">
        <v>46</v>
      </c>
      <c r="C22" s="1" t="s">
        <v>195</v>
      </c>
      <c r="D22" s="8"/>
      <c r="E22" s="10"/>
      <c r="F22" s="38"/>
    </row>
    <row r="23" spans="2:6" ht="19.5" thickBot="1">
      <c r="B23" s="95" t="s">
        <v>32</v>
      </c>
      <c r="C23" s="96" t="s">
        <v>195</v>
      </c>
      <c r="D23" s="97"/>
      <c r="E23" s="98"/>
      <c r="F23" s="99"/>
    </row>
    <row r="24" spans="2:6" ht="19.5" thickTop="1">
      <c r="B24" s="112" t="s">
        <v>21</v>
      </c>
      <c r="C24" s="113" t="s">
        <v>190</v>
      </c>
      <c r="D24" s="114" t="s">
        <v>139</v>
      </c>
      <c r="E24" s="118" t="s">
        <v>732</v>
      </c>
      <c r="F24" s="115"/>
    </row>
    <row r="25" spans="2:6">
      <c r="B25" s="116" t="s">
        <v>26</v>
      </c>
      <c r="C25" s="12" t="s">
        <v>190</v>
      </c>
      <c r="D25" s="13" t="s">
        <v>345</v>
      </c>
      <c r="E25" s="34" t="s">
        <v>733</v>
      </c>
      <c r="F25" s="117"/>
    </row>
    <row r="26" spans="2:6">
      <c r="B26" s="116" t="s">
        <v>27</v>
      </c>
      <c r="C26" s="12" t="s">
        <v>190</v>
      </c>
      <c r="D26" s="13" t="s">
        <v>345</v>
      </c>
      <c r="E26" s="34" t="s">
        <v>733</v>
      </c>
      <c r="F26" s="117"/>
    </row>
    <row r="27" spans="2:6">
      <c r="B27" s="105" t="s">
        <v>14</v>
      </c>
      <c r="C27" s="1" t="s">
        <v>190</v>
      </c>
      <c r="D27" s="8"/>
      <c r="E27" s="10"/>
      <c r="F27" s="106"/>
    </row>
    <row r="28" spans="2:6" ht="19.5" thickBot="1">
      <c r="B28" s="107" t="s">
        <v>15</v>
      </c>
      <c r="C28" s="108" t="s">
        <v>190</v>
      </c>
      <c r="D28" s="109"/>
      <c r="E28" s="110"/>
      <c r="F28" s="111"/>
    </row>
    <row r="29" spans="2:6" ht="19.5" thickTop="1">
      <c r="B29" s="100" t="s">
        <v>23</v>
      </c>
      <c r="C29" s="101" t="s">
        <v>196</v>
      </c>
      <c r="D29" s="102"/>
      <c r="E29" s="103"/>
      <c r="F29" s="104"/>
    </row>
    <row r="30" spans="2:6" ht="19.5" thickBot="1">
      <c r="B30" s="49" t="s">
        <v>40</v>
      </c>
      <c r="C30" s="50" t="s">
        <v>196</v>
      </c>
      <c r="D30" s="51"/>
      <c r="E30" s="52"/>
      <c r="F30" s="53"/>
    </row>
    <row r="31" spans="2:6">
      <c r="B31" s="54" t="s">
        <v>13</v>
      </c>
      <c r="C31" s="55" t="s">
        <v>189</v>
      </c>
      <c r="D31" s="56" t="s">
        <v>138</v>
      </c>
      <c r="E31" s="57" t="s">
        <v>1858</v>
      </c>
      <c r="F31" s="58"/>
    </row>
    <row r="32" spans="2:6" ht="19.5" thickBot="1">
      <c r="B32" s="49" t="s">
        <v>35</v>
      </c>
      <c r="C32" s="50" t="s">
        <v>189</v>
      </c>
      <c r="D32" s="51" t="s">
        <v>138</v>
      </c>
      <c r="E32" s="52" t="s">
        <v>1857</v>
      </c>
      <c r="F32" s="53"/>
    </row>
    <row r="33" spans="2:6">
      <c r="B33" s="37" t="s">
        <v>16</v>
      </c>
      <c r="C33" s="1" t="s">
        <v>193</v>
      </c>
      <c r="D33" s="8" t="s">
        <v>1860</v>
      </c>
      <c r="E33" s="258" t="s">
        <v>1855</v>
      </c>
      <c r="F33" s="38"/>
    </row>
    <row r="34" spans="2:6">
      <c r="B34" s="37" t="s">
        <v>17</v>
      </c>
      <c r="C34" s="1" t="s">
        <v>192</v>
      </c>
      <c r="D34" s="8" t="s">
        <v>1859</v>
      </c>
      <c r="E34" s="10" t="s">
        <v>1855</v>
      </c>
      <c r="F34" s="38"/>
    </row>
    <row r="35" spans="2:6">
      <c r="B35" s="37" t="s">
        <v>18</v>
      </c>
      <c r="C35" s="1" t="s">
        <v>192</v>
      </c>
      <c r="D35" s="8" t="s">
        <v>1859</v>
      </c>
      <c r="E35" s="10" t="s">
        <v>1855</v>
      </c>
      <c r="F35" s="38"/>
    </row>
    <row r="36" spans="2:6">
      <c r="B36" s="37" t="s">
        <v>19</v>
      </c>
      <c r="C36" s="1" t="s">
        <v>192</v>
      </c>
      <c r="D36" s="8" t="s">
        <v>1859</v>
      </c>
      <c r="E36" s="10" t="s">
        <v>1855</v>
      </c>
      <c r="F36" s="38"/>
    </row>
    <row r="37" spans="2:6">
      <c r="B37" s="37" t="s">
        <v>20</v>
      </c>
      <c r="C37" s="1" t="s">
        <v>192</v>
      </c>
      <c r="D37" s="8" t="s">
        <v>1859</v>
      </c>
      <c r="E37" s="10" t="s">
        <v>1855</v>
      </c>
      <c r="F37" s="38"/>
    </row>
    <row r="38" spans="2:6">
      <c r="B38" s="37" t="s">
        <v>25</v>
      </c>
      <c r="C38" s="1" t="s">
        <v>193</v>
      </c>
      <c r="D38" s="8" t="s">
        <v>1859</v>
      </c>
      <c r="E38" s="10" t="s">
        <v>1855</v>
      </c>
      <c r="F38" s="38"/>
    </row>
    <row r="39" spans="2:6">
      <c r="B39" s="37" t="s">
        <v>29</v>
      </c>
      <c r="C39" s="1" t="s">
        <v>193</v>
      </c>
      <c r="D39" s="8" t="s">
        <v>1859</v>
      </c>
      <c r="E39" s="10" t="s">
        <v>1855</v>
      </c>
      <c r="F39" s="38"/>
    </row>
    <row r="40" spans="2:6">
      <c r="B40" s="37" t="s">
        <v>44</v>
      </c>
      <c r="C40" s="1" t="s">
        <v>193</v>
      </c>
      <c r="D40" s="8" t="s">
        <v>1859</v>
      </c>
      <c r="E40" s="10" t="s">
        <v>1855</v>
      </c>
      <c r="F40" s="38"/>
    </row>
    <row r="41" spans="2:6" ht="158.1" customHeight="1">
      <c r="B41" s="35" t="s">
        <v>45</v>
      </c>
      <c r="C41" s="12" t="s">
        <v>193</v>
      </c>
      <c r="D41" s="13" t="s">
        <v>138</v>
      </c>
      <c r="E41" s="14" t="s">
        <v>283</v>
      </c>
      <c r="F41" s="36" t="s">
        <v>281</v>
      </c>
    </row>
    <row r="42" spans="2:6" ht="19.5" thickBot="1">
      <c r="B42" s="49" t="s">
        <v>1856</v>
      </c>
      <c r="C42" s="50" t="s">
        <v>193</v>
      </c>
      <c r="D42" s="51" t="s">
        <v>1859</v>
      </c>
      <c r="E42" s="52" t="s">
        <v>1855</v>
      </c>
      <c r="F42" s="53"/>
    </row>
  </sheetData>
  <autoFilter ref="B3:F42" xr:uid="{E27DFD97-BF52-4492-9C99-C3E61954C4C4}"/>
  <sortState xmlns:xlrd2="http://schemas.microsoft.com/office/spreadsheetml/2017/richdata2" ref="B12:F43">
    <sortCondition ref="C12:C43"/>
    <sortCondition ref="B12:B43"/>
  </sortState>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3C4AB-E70C-4B67-A11F-9DC26EDF7975}">
  <sheetPr>
    <pageSetUpPr fitToPage="1"/>
  </sheetPr>
  <dimension ref="A1:U46"/>
  <sheetViews>
    <sheetView zoomScale="115" zoomScaleNormal="115" workbookViewId="0"/>
  </sheetViews>
  <sheetFormatPr defaultRowHeight="18.75"/>
  <cols>
    <col min="2" max="2" width="3.625" customWidth="1"/>
  </cols>
  <sheetData>
    <row r="1" spans="1:21" ht="24">
      <c r="A1" s="86" t="s">
        <v>728</v>
      </c>
    </row>
    <row r="3" spans="1:21">
      <c r="B3" t="s">
        <v>723</v>
      </c>
    </row>
    <row r="5" spans="1:21">
      <c r="B5" t="s">
        <v>729</v>
      </c>
      <c r="F5" t="s">
        <v>731</v>
      </c>
      <c r="R5" t="s">
        <v>730</v>
      </c>
    </row>
    <row r="6" spans="1:21">
      <c r="B6" s="87"/>
      <c r="C6" s="88"/>
      <c r="D6" s="88"/>
      <c r="E6" s="89"/>
      <c r="F6" s="87"/>
      <c r="G6" s="88"/>
      <c r="H6" s="88"/>
      <c r="I6" s="88"/>
      <c r="J6" s="88"/>
      <c r="K6" s="88"/>
      <c r="L6" s="88"/>
      <c r="M6" s="88"/>
      <c r="N6" s="88"/>
      <c r="O6" s="88"/>
      <c r="P6" s="88"/>
      <c r="Q6" s="89"/>
      <c r="R6" s="87"/>
      <c r="S6" s="88"/>
      <c r="T6" s="88"/>
      <c r="U6" s="89"/>
    </row>
    <row r="7" spans="1:21">
      <c r="B7" s="90"/>
      <c r="E7" s="91"/>
      <c r="F7" s="90"/>
      <c r="Q7" s="91"/>
      <c r="R7" s="90"/>
      <c r="U7" s="91"/>
    </row>
    <row r="8" spans="1:21">
      <c r="B8" s="90"/>
      <c r="E8" s="91"/>
      <c r="F8" s="90"/>
      <c r="Q8" s="91"/>
      <c r="R8" s="90"/>
      <c r="U8" s="91"/>
    </row>
    <row r="9" spans="1:21">
      <c r="B9" s="90"/>
      <c r="E9" s="91"/>
      <c r="F9" s="90"/>
      <c r="Q9" s="91"/>
      <c r="R9" s="90"/>
      <c r="U9" s="91"/>
    </row>
    <row r="10" spans="1:21">
      <c r="B10" s="90"/>
      <c r="E10" s="91"/>
      <c r="F10" s="90"/>
      <c r="Q10" s="91"/>
      <c r="R10" s="90"/>
      <c r="U10" s="91"/>
    </row>
    <row r="11" spans="1:21">
      <c r="B11" s="92"/>
      <c r="C11" s="93"/>
      <c r="D11" s="93"/>
      <c r="E11" s="94"/>
      <c r="F11" s="92"/>
      <c r="G11" s="93"/>
      <c r="H11" s="93"/>
      <c r="I11" s="93"/>
      <c r="J11" s="93"/>
      <c r="K11" s="93"/>
      <c r="L11" s="93"/>
      <c r="M11" s="93"/>
      <c r="N11" s="93"/>
      <c r="O11" s="93"/>
      <c r="P11" s="93"/>
      <c r="Q11" s="94"/>
      <c r="R11" s="92"/>
      <c r="S11" s="93"/>
      <c r="T11" s="93"/>
      <c r="U11" s="94"/>
    </row>
    <row r="25" spans="2:3">
      <c r="B25" t="s">
        <v>724</v>
      </c>
    </row>
    <row r="26" spans="2:3">
      <c r="C26" t="s">
        <v>725</v>
      </c>
    </row>
    <row r="35" spans="3:3">
      <c r="C35" t="s">
        <v>726</v>
      </c>
    </row>
    <row r="46" spans="3:3">
      <c r="C46" t="s">
        <v>727</v>
      </c>
    </row>
  </sheetData>
  <phoneticPr fontId="1"/>
  <pageMargins left="0.11811023622047245" right="0.11811023622047245" top="0.74803149606299213" bottom="0.74803149606299213" header="0.31496062992125984" footer="0.31496062992125984"/>
  <pageSetup paperSize="9" scale="51"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49931-E774-4EAE-AFA7-1AE7FC10A388}">
  <sheetPr codeName="Sheet13"/>
  <dimension ref="A1:V49"/>
  <sheetViews>
    <sheetView workbookViewId="0">
      <pane xSplit="2" ySplit="2" topLeftCell="C3" activePane="bottomRight" state="frozen"/>
      <selection pane="topRight" activeCell="C1" sqref="C1"/>
      <selection pane="bottomLeft" activeCell="A3" sqref="A3"/>
      <selection pane="bottomRight"/>
    </sheetView>
  </sheetViews>
  <sheetFormatPr defaultRowHeight="18.75"/>
  <cols>
    <col min="1" max="1" width="21.625" bestFit="1" customWidth="1"/>
    <col min="2" max="2" width="16.625" bestFit="1" customWidth="1"/>
    <col min="5" max="5" width="13.125" customWidth="1"/>
    <col min="6" max="6" width="20.125" customWidth="1"/>
    <col min="7" max="7" width="42.625" style="3" customWidth="1"/>
    <col min="8" max="8" width="26.875" customWidth="1"/>
    <col min="11" max="11" width="9.125" bestFit="1" customWidth="1"/>
    <col min="12" max="13" width="8.625" bestFit="1" customWidth="1"/>
    <col min="14" max="15" width="11.375" customWidth="1"/>
    <col min="16" max="16" width="16.125" customWidth="1"/>
    <col min="17" max="17" width="6.375" bestFit="1" customWidth="1"/>
    <col min="18" max="18" width="18" bestFit="1" customWidth="1"/>
    <col min="19" max="19" width="16.125" bestFit="1" customWidth="1"/>
    <col min="20" max="20" width="17.875" bestFit="1" customWidth="1"/>
    <col min="21" max="21" width="6.875" bestFit="1" customWidth="1"/>
    <col min="22" max="22" width="8.125" bestFit="1" customWidth="1"/>
  </cols>
  <sheetData>
    <row r="1" spans="1:22">
      <c r="A1" s="6" t="s">
        <v>131</v>
      </c>
      <c r="K1" s="6" t="s">
        <v>807</v>
      </c>
    </row>
    <row r="2" spans="1:22" ht="37.5">
      <c r="A2" s="5" t="s">
        <v>0</v>
      </c>
      <c r="B2" s="5" t="s">
        <v>1</v>
      </c>
      <c r="C2" s="5" t="s">
        <v>2</v>
      </c>
      <c r="D2" s="5" t="s">
        <v>8</v>
      </c>
      <c r="E2" s="5" t="s">
        <v>151</v>
      </c>
      <c r="F2" s="5" t="s">
        <v>63</v>
      </c>
      <c r="G2" s="5" t="s">
        <v>145</v>
      </c>
      <c r="H2" s="5" t="s">
        <v>85</v>
      </c>
      <c r="K2" s="121" t="s">
        <v>55</v>
      </c>
      <c r="L2" s="121" t="s">
        <v>121</v>
      </c>
      <c r="M2" s="121" t="s">
        <v>122</v>
      </c>
      <c r="N2" s="121" t="s">
        <v>123</v>
      </c>
      <c r="O2" s="121" t="s">
        <v>124</v>
      </c>
      <c r="P2" s="121" t="s">
        <v>125</v>
      </c>
      <c r="Q2" s="121" t="s">
        <v>126</v>
      </c>
      <c r="R2" s="121" t="s">
        <v>754</v>
      </c>
      <c r="S2" s="121" t="s">
        <v>127</v>
      </c>
      <c r="T2" s="121" t="s">
        <v>128</v>
      </c>
      <c r="U2" s="121" t="s">
        <v>129</v>
      </c>
      <c r="V2" s="121" t="s">
        <v>130</v>
      </c>
    </row>
    <row r="3" spans="1:22" ht="37.5">
      <c r="A3" s="1" t="s">
        <v>55</v>
      </c>
      <c r="B3" s="1" t="s">
        <v>3</v>
      </c>
      <c r="C3" s="1"/>
      <c r="D3" s="1" t="s">
        <v>9</v>
      </c>
      <c r="E3" s="1"/>
      <c r="F3" s="4" t="s">
        <v>805</v>
      </c>
      <c r="G3" s="1" t="s">
        <v>804</v>
      </c>
      <c r="H3" s="1"/>
      <c r="K3" s="122">
        <v>1</v>
      </c>
      <c r="L3" s="123" t="s">
        <v>755</v>
      </c>
      <c r="M3" s="123" t="s">
        <v>755</v>
      </c>
      <c r="N3" s="123" t="s">
        <v>755</v>
      </c>
      <c r="O3" s="123" t="s">
        <v>755</v>
      </c>
      <c r="P3" s="123" t="s">
        <v>755</v>
      </c>
      <c r="Q3" s="123" t="s">
        <v>177</v>
      </c>
      <c r="R3" s="123" t="s">
        <v>756</v>
      </c>
      <c r="S3" s="122">
        <v>4329983</v>
      </c>
      <c r="T3" s="123" t="s">
        <v>757</v>
      </c>
      <c r="U3" s="124"/>
      <c r="V3" s="124"/>
    </row>
    <row r="4" spans="1:22">
      <c r="A4" s="1" t="s">
        <v>121</v>
      </c>
      <c r="B4" s="1" t="s">
        <v>4</v>
      </c>
      <c r="C4" s="1">
        <v>50</v>
      </c>
      <c r="D4" s="1" t="s">
        <v>10</v>
      </c>
      <c r="E4" s="1"/>
      <c r="F4" s="4"/>
      <c r="G4" s="4" t="s">
        <v>68</v>
      </c>
      <c r="H4" s="1"/>
      <c r="K4" s="122">
        <v>2</v>
      </c>
      <c r="L4" s="123" t="s">
        <v>755</v>
      </c>
      <c r="M4" s="123" t="s">
        <v>755</v>
      </c>
      <c r="N4" s="123" t="s">
        <v>755</v>
      </c>
      <c r="O4" s="123" t="s">
        <v>755</v>
      </c>
      <c r="P4" s="123" t="s">
        <v>755</v>
      </c>
      <c r="Q4" s="123" t="s">
        <v>757</v>
      </c>
      <c r="R4" s="123" t="s">
        <v>758</v>
      </c>
      <c r="S4" s="122">
        <v>4329983</v>
      </c>
      <c r="T4" s="123" t="s">
        <v>757</v>
      </c>
      <c r="U4" s="124"/>
      <c r="V4" s="124"/>
    </row>
    <row r="5" spans="1:22">
      <c r="A5" s="1" t="s">
        <v>122</v>
      </c>
      <c r="B5" s="1" t="s">
        <v>4</v>
      </c>
      <c r="C5" s="1">
        <v>50</v>
      </c>
      <c r="D5" s="1" t="s">
        <v>10</v>
      </c>
      <c r="E5" s="1"/>
      <c r="F5" s="4"/>
      <c r="G5" s="4" t="s">
        <v>68</v>
      </c>
      <c r="H5" s="1"/>
      <c r="K5" s="122">
        <v>3</v>
      </c>
      <c r="L5" s="123" t="s">
        <v>755</v>
      </c>
      <c r="M5" s="123" t="s">
        <v>755</v>
      </c>
      <c r="N5" s="123" t="s">
        <v>755</v>
      </c>
      <c r="O5" s="123" t="s">
        <v>755</v>
      </c>
      <c r="P5" s="123" t="s">
        <v>755</v>
      </c>
      <c r="Q5" s="123" t="s">
        <v>757</v>
      </c>
      <c r="R5" s="123" t="s">
        <v>759</v>
      </c>
      <c r="S5" s="122">
        <v>4329983</v>
      </c>
      <c r="T5" s="123" t="s">
        <v>757</v>
      </c>
      <c r="U5" s="124"/>
      <c r="V5" s="124"/>
    </row>
    <row r="6" spans="1:22">
      <c r="A6" s="1" t="s">
        <v>123</v>
      </c>
      <c r="B6" s="1" t="s">
        <v>4</v>
      </c>
      <c r="C6" s="1">
        <v>50</v>
      </c>
      <c r="D6" s="1" t="s">
        <v>10</v>
      </c>
      <c r="E6" s="1"/>
      <c r="F6" s="4"/>
      <c r="G6" s="4" t="s">
        <v>68</v>
      </c>
      <c r="H6" s="1"/>
      <c r="K6" s="122">
        <v>4</v>
      </c>
      <c r="L6" s="123" t="s">
        <v>755</v>
      </c>
      <c r="M6" s="123" t="s">
        <v>755</v>
      </c>
      <c r="N6" s="123" t="s">
        <v>755</v>
      </c>
      <c r="O6" s="123" t="s">
        <v>755</v>
      </c>
      <c r="P6" s="123" t="s">
        <v>755</v>
      </c>
      <c r="Q6" s="123" t="s">
        <v>757</v>
      </c>
      <c r="R6" s="123" t="s">
        <v>760</v>
      </c>
      <c r="S6" s="122">
        <v>4329983</v>
      </c>
      <c r="T6" s="123" t="s">
        <v>757</v>
      </c>
      <c r="U6" s="124"/>
      <c r="V6" s="124"/>
    </row>
    <row r="7" spans="1:22">
      <c r="A7" s="1" t="s">
        <v>124</v>
      </c>
      <c r="B7" s="1" t="s">
        <v>4</v>
      </c>
      <c r="C7" s="1">
        <v>2</v>
      </c>
      <c r="D7" s="1" t="s">
        <v>10</v>
      </c>
      <c r="E7" s="1"/>
      <c r="F7" s="4"/>
      <c r="G7" s="4" t="s">
        <v>68</v>
      </c>
      <c r="H7" s="1"/>
      <c r="K7" s="122">
        <v>5</v>
      </c>
      <c r="L7" s="123" t="s">
        <v>755</v>
      </c>
      <c r="M7" s="123" t="s">
        <v>755</v>
      </c>
      <c r="N7" s="123" t="s">
        <v>755</v>
      </c>
      <c r="O7" s="123" t="s">
        <v>755</v>
      </c>
      <c r="P7" s="123" t="s">
        <v>755</v>
      </c>
      <c r="Q7" s="123" t="s">
        <v>757</v>
      </c>
      <c r="R7" s="123" t="s">
        <v>761</v>
      </c>
      <c r="S7" s="122">
        <v>4329983</v>
      </c>
      <c r="T7" s="123" t="s">
        <v>757</v>
      </c>
      <c r="U7" s="124"/>
      <c r="V7" s="124"/>
    </row>
    <row r="8" spans="1:22">
      <c r="A8" s="1" t="s">
        <v>125</v>
      </c>
      <c r="B8" s="1" t="s">
        <v>4</v>
      </c>
      <c r="C8" s="1">
        <v>9</v>
      </c>
      <c r="D8" s="1" t="s">
        <v>10</v>
      </c>
      <c r="E8" s="1"/>
      <c r="F8" s="4"/>
      <c r="G8" s="4" t="s">
        <v>68</v>
      </c>
      <c r="H8" s="1"/>
      <c r="K8" s="122">
        <v>6</v>
      </c>
      <c r="L8" s="123" t="s">
        <v>755</v>
      </c>
      <c r="M8" s="123" t="s">
        <v>755</v>
      </c>
      <c r="N8" s="123" t="s">
        <v>755</v>
      </c>
      <c r="O8" s="123" t="s">
        <v>755</v>
      </c>
      <c r="P8" s="123" t="s">
        <v>755</v>
      </c>
      <c r="Q8" s="123" t="s">
        <v>757</v>
      </c>
      <c r="R8" s="123" t="s">
        <v>762</v>
      </c>
      <c r="S8" s="122">
        <v>4329983</v>
      </c>
      <c r="T8" s="123" t="s">
        <v>757</v>
      </c>
      <c r="U8" s="124"/>
      <c r="V8" s="124"/>
    </row>
    <row r="9" spans="1:22">
      <c r="A9" s="1" t="s">
        <v>126</v>
      </c>
      <c r="B9" s="1" t="s">
        <v>4</v>
      </c>
      <c r="C9" s="1">
        <v>20</v>
      </c>
      <c r="D9" s="1" t="s">
        <v>10</v>
      </c>
      <c r="E9" s="1"/>
      <c r="F9" s="4"/>
      <c r="G9" s="4" t="s">
        <v>68</v>
      </c>
      <c r="H9" s="1"/>
      <c r="K9" s="122">
        <v>7</v>
      </c>
      <c r="L9" s="123" t="s">
        <v>755</v>
      </c>
      <c r="M9" s="123" t="s">
        <v>755</v>
      </c>
      <c r="N9" s="123" t="s">
        <v>755</v>
      </c>
      <c r="O9" s="123" t="s">
        <v>755</v>
      </c>
      <c r="P9" s="123" t="s">
        <v>755</v>
      </c>
      <c r="Q9" s="123" t="s">
        <v>757</v>
      </c>
      <c r="R9" s="123" t="s">
        <v>763</v>
      </c>
      <c r="S9" s="122">
        <v>4329983</v>
      </c>
      <c r="T9" s="123" t="s">
        <v>757</v>
      </c>
      <c r="U9" s="124"/>
      <c r="V9" s="124"/>
    </row>
    <row r="10" spans="1:22" ht="37.5">
      <c r="A10" s="1" t="s">
        <v>347</v>
      </c>
      <c r="B10" s="1" t="s">
        <v>4</v>
      </c>
      <c r="C10" s="1">
        <v>50</v>
      </c>
      <c r="D10" s="1" t="s">
        <v>10</v>
      </c>
      <c r="E10" s="1"/>
      <c r="F10" s="4" t="s">
        <v>806</v>
      </c>
      <c r="G10" s="64" t="s">
        <v>740</v>
      </c>
      <c r="H10" s="1"/>
      <c r="K10" s="122">
        <v>8</v>
      </c>
      <c r="L10" s="123" t="s">
        <v>755</v>
      </c>
      <c r="M10" s="123" t="s">
        <v>755</v>
      </c>
      <c r="N10" s="123" t="s">
        <v>755</v>
      </c>
      <c r="O10" s="123" t="s">
        <v>755</v>
      </c>
      <c r="P10" s="123" t="s">
        <v>755</v>
      </c>
      <c r="Q10" s="123" t="s">
        <v>757</v>
      </c>
      <c r="R10" s="123" t="s">
        <v>764</v>
      </c>
      <c r="S10" s="122">
        <v>4329983</v>
      </c>
      <c r="T10" s="123" t="s">
        <v>757</v>
      </c>
      <c r="U10" s="124"/>
      <c r="V10" s="124"/>
    </row>
    <row r="11" spans="1:22">
      <c r="A11" s="1" t="s">
        <v>127</v>
      </c>
      <c r="B11" s="1" t="s">
        <v>3</v>
      </c>
      <c r="C11" s="1"/>
      <c r="D11" s="1" t="s">
        <v>10</v>
      </c>
      <c r="E11" s="1"/>
      <c r="F11" s="4" t="s">
        <v>144</v>
      </c>
      <c r="G11" s="4" t="s">
        <v>291</v>
      </c>
      <c r="H11" s="1"/>
      <c r="K11" s="122">
        <v>9</v>
      </c>
      <c r="L11" s="123" t="s">
        <v>755</v>
      </c>
      <c r="M11" s="123" t="s">
        <v>755</v>
      </c>
      <c r="N11" s="123" t="s">
        <v>755</v>
      </c>
      <c r="O11" s="123" t="s">
        <v>755</v>
      </c>
      <c r="P11" s="123" t="s">
        <v>755</v>
      </c>
      <c r="Q11" s="123" t="s">
        <v>757</v>
      </c>
      <c r="R11" s="123" t="s">
        <v>765</v>
      </c>
      <c r="S11" s="122">
        <v>4329983</v>
      </c>
      <c r="T11" s="123" t="s">
        <v>757</v>
      </c>
      <c r="U11" s="124"/>
      <c r="V11" s="124"/>
    </row>
    <row r="12" spans="1:22">
      <c r="A12" s="1" t="s">
        <v>128</v>
      </c>
      <c r="B12" s="1" t="s">
        <v>4</v>
      </c>
      <c r="C12" s="1">
        <v>80</v>
      </c>
      <c r="D12" s="1" t="s">
        <v>10</v>
      </c>
      <c r="E12" s="1"/>
      <c r="F12" s="4" t="s">
        <v>144</v>
      </c>
      <c r="G12" s="4" t="s">
        <v>177</v>
      </c>
      <c r="H12" s="1"/>
      <c r="K12" s="122">
        <v>10</v>
      </c>
      <c r="L12" s="123" t="s">
        <v>755</v>
      </c>
      <c r="M12" s="123" t="s">
        <v>755</v>
      </c>
      <c r="N12" s="123" t="s">
        <v>755</v>
      </c>
      <c r="O12" s="123" t="s">
        <v>755</v>
      </c>
      <c r="P12" s="123" t="s">
        <v>755</v>
      </c>
      <c r="Q12" s="123" t="s">
        <v>757</v>
      </c>
      <c r="R12" s="123" t="s">
        <v>766</v>
      </c>
      <c r="S12" s="122">
        <v>4329983</v>
      </c>
      <c r="T12" s="123" t="s">
        <v>757</v>
      </c>
      <c r="U12" s="124"/>
      <c r="V12" s="124"/>
    </row>
    <row r="13" spans="1:22">
      <c r="A13" s="1" t="s">
        <v>129</v>
      </c>
      <c r="B13" s="1" t="s">
        <v>7</v>
      </c>
      <c r="C13" s="1"/>
      <c r="D13" s="1" t="s">
        <v>10</v>
      </c>
      <c r="E13" s="1"/>
      <c r="F13" s="4"/>
      <c r="G13" s="4" t="s">
        <v>68</v>
      </c>
      <c r="H13" s="1"/>
      <c r="K13" s="122">
        <v>11</v>
      </c>
      <c r="L13" s="123" t="s">
        <v>755</v>
      </c>
      <c r="M13" s="123" t="s">
        <v>755</v>
      </c>
      <c r="N13" s="123" t="s">
        <v>755</v>
      </c>
      <c r="O13" s="123" t="s">
        <v>755</v>
      </c>
      <c r="P13" s="123" t="s">
        <v>755</v>
      </c>
      <c r="Q13" s="123" t="s">
        <v>757</v>
      </c>
      <c r="R13" s="123" t="s">
        <v>767</v>
      </c>
      <c r="S13" s="122">
        <v>4329983</v>
      </c>
      <c r="T13" s="123" t="s">
        <v>757</v>
      </c>
      <c r="U13" s="124"/>
      <c r="V13" s="124"/>
    </row>
    <row r="14" spans="1:22">
      <c r="A14" s="1" t="s">
        <v>130</v>
      </c>
      <c r="B14" s="1" t="s">
        <v>7</v>
      </c>
      <c r="C14" s="1"/>
      <c r="D14" s="1" t="s">
        <v>10</v>
      </c>
      <c r="E14" s="1"/>
      <c r="F14" s="4"/>
      <c r="G14" s="4" t="s">
        <v>68</v>
      </c>
      <c r="H14" s="1"/>
      <c r="K14" s="122">
        <v>12</v>
      </c>
      <c r="L14" s="123" t="s">
        <v>755</v>
      </c>
      <c r="M14" s="123" t="s">
        <v>755</v>
      </c>
      <c r="N14" s="123" t="s">
        <v>755</v>
      </c>
      <c r="O14" s="123" t="s">
        <v>755</v>
      </c>
      <c r="P14" s="123" t="s">
        <v>755</v>
      </c>
      <c r="Q14" s="123" t="s">
        <v>757</v>
      </c>
      <c r="R14" s="123" t="s">
        <v>768</v>
      </c>
      <c r="S14" s="122">
        <v>4329983</v>
      </c>
      <c r="T14" s="123" t="s">
        <v>757</v>
      </c>
      <c r="U14" s="124"/>
      <c r="V14" s="124"/>
    </row>
    <row r="15" spans="1:22">
      <c r="K15" s="122">
        <v>13</v>
      </c>
      <c r="L15" s="123" t="s">
        <v>755</v>
      </c>
      <c r="M15" s="123" t="s">
        <v>755</v>
      </c>
      <c r="N15" s="123" t="s">
        <v>755</v>
      </c>
      <c r="O15" s="123" t="s">
        <v>755</v>
      </c>
      <c r="P15" s="123" t="s">
        <v>755</v>
      </c>
      <c r="Q15" s="123" t="s">
        <v>757</v>
      </c>
      <c r="R15" s="123" t="s">
        <v>769</v>
      </c>
      <c r="S15" s="122">
        <v>4329983</v>
      </c>
      <c r="T15" s="123" t="s">
        <v>757</v>
      </c>
      <c r="U15" s="124"/>
      <c r="V15" s="124"/>
    </row>
    <row r="16" spans="1:22">
      <c r="A16" t="s">
        <v>1166</v>
      </c>
      <c r="K16" s="122">
        <v>14</v>
      </c>
      <c r="L16" s="123" t="s">
        <v>755</v>
      </c>
      <c r="M16" s="123" t="s">
        <v>755</v>
      </c>
      <c r="N16" s="123" t="s">
        <v>755</v>
      </c>
      <c r="O16" s="123" t="s">
        <v>755</v>
      </c>
      <c r="P16" s="123" t="s">
        <v>755</v>
      </c>
      <c r="Q16" s="123" t="s">
        <v>757</v>
      </c>
      <c r="R16" s="123" t="s">
        <v>770</v>
      </c>
      <c r="S16" s="122">
        <v>4329983</v>
      </c>
      <c r="T16" s="123" t="s">
        <v>757</v>
      </c>
      <c r="U16" s="124"/>
      <c r="V16" s="124"/>
    </row>
    <row r="17" spans="1:22">
      <c r="A17" t="s">
        <v>1168</v>
      </c>
      <c r="K17" s="122">
        <v>15</v>
      </c>
      <c r="L17" s="123" t="s">
        <v>755</v>
      </c>
      <c r="M17" s="123" t="s">
        <v>755</v>
      </c>
      <c r="N17" s="123" t="s">
        <v>755</v>
      </c>
      <c r="O17" s="123" t="s">
        <v>755</v>
      </c>
      <c r="P17" s="123" t="s">
        <v>755</v>
      </c>
      <c r="Q17" s="123" t="s">
        <v>757</v>
      </c>
      <c r="R17" s="123" t="s">
        <v>771</v>
      </c>
      <c r="S17" s="122">
        <v>4329983</v>
      </c>
      <c r="T17" s="123" t="s">
        <v>757</v>
      </c>
      <c r="U17" s="124"/>
      <c r="V17" s="124"/>
    </row>
    <row r="18" spans="1:22">
      <c r="K18" s="122">
        <v>16</v>
      </c>
      <c r="L18" s="123" t="s">
        <v>755</v>
      </c>
      <c r="M18" s="123" t="s">
        <v>755</v>
      </c>
      <c r="N18" s="123" t="s">
        <v>755</v>
      </c>
      <c r="O18" s="123" t="s">
        <v>755</v>
      </c>
      <c r="P18" s="123" t="s">
        <v>755</v>
      </c>
      <c r="Q18" s="123" t="s">
        <v>757</v>
      </c>
      <c r="R18" s="123" t="s">
        <v>772</v>
      </c>
      <c r="S18" s="122">
        <v>4329983</v>
      </c>
      <c r="T18" s="123" t="s">
        <v>757</v>
      </c>
      <c r="U18" s="124"/>
      <c r="V18" s="124"/>
    </row>
    <row r="19" spans="1:22">
      <c r="K19" s="122">
        <v>17</v>
      </c>
      <c r="L19" s="123" t="s">
        <v>755</v>
      </c>
      <c r="M19" s="123" t="s">
        <v>755</v>
      </c>
      <c r="N19" s="123" t="s">
        <v>755</v>
      </c>
      <c r="O19" s="123" t="s">
        <v>755</v>
      </c>
      <c r="P19" s="123" t="s">
        <v>755</v>
      </c>
      <c r="Q19" s="123" t="s">
        <v>757</v>
      </c>
      <c r="R19" s="123" t="s">
        <v>773</v>
      </c>
      <c r="S19" s="122">
        <v>4329983</v>
      </c>
      <c r="T19" s="123" t="s">
        <v>757</v>
      </c>
      <c r="U19" s="124"/>
      <c r="V19" s="124"/>
    </row>
    <row r="20" spans="1:22">
      <c r="K20" s="122">
        <v>18</v>
      </c>
      <c r="L20" s="123" t="s">
        <v>755</v>
      </c>
      <c r="M20" s="123" t="s">
        <v>755</v>
      </c>
      <c r="N20" s="123" t="s">
        <v>755</v>
      </c>
      <c r="O20" s="123" t="s">
        <v>755</v>
      </c>
      <c r="P20" s="123" t="s">
        <v>755</v>
      </c>
      <c r="Q20" s="123" t="s">
        <v>757</v>
      </c>
      <c r="R20" s="123" t="s">
        <v>774</v>
      </c>
      <c r="S20" s="122">
        <v>4329983</v>
      </c>
      <c r="T20" s="123" t="s">
        <v>757</v>
      </c>
      <c r="U20" s="124"/>
      <c r="V20" s="124"/>
    </row>
    <row r="21" spans="1:22">
      <c r="K21" s="122">
        <v>19</v>
      </c>
      <c r="L21" s="123" t="s">
        <v>755</v>
      </c>
      <c r="M21" s="123" t="s">
        <v>755</v>
      </c>
      <c r="N21" s="123" t="s">
        <v>755</v>
      </c>
      <c r="O21" s="123" t="s">
        <v>755</v>
      </c>
      <c r="P21" s="123" t="s">
        <v>755</v>
      </c>
      <c r="Q21" s="123" t="s">
        <v>757</v>
      </c>
      <c r="R21" s="123" t="s">
        <v>775</v>
      </c>
      <c r="S21" s="122">
        <v>4329983</v>
      </c>
      <c r="T21" s="123" t="s">
        <v>757</v>
      </c>
      <c r="U21" s="124"/>
      <c r="V21" s="124"/>
    </row>
    <row r="22" spans="1:22">
      <c r="K22" s="122">
        <v>20</v>
      </c>
      <c r="L22" s="123" t="s">
        <v>755</v>
      </c>
      <c r="M22" s="123" t="s">
        <v>755</v>
      </c>
      <c r="N22" s="123" t="s">
        <v>755</v>
      </c>
      <c r="O22" s="123" t="s">
        <v>755</v>
      </c>
      <c r="P22" s="123" t="s">
        <v>755</v>
      </c>
      <c r="Q22" s="123" t="s">
        <v>757</v>
      </c>
      <c r="R22" s="123" t="s">
        <v>776</v>
      </c>
      <c r="S22" s="122">
        <v>4329983</v>
      </c>
      <c r="T22" s="123" t="s">
        <v>757</v>
      </c>
      <c r="U22" s="124"/>
      <c r="V22" s="124"/>
    </row>
    <row r="23" spans="1:22">
      <c r="K23" s="122">
        <v>21</v>
      </c>
      <c r="L23" s="123" t="s">
        <v>755</v>
      </c>
      <c r="M23" s="123" t="s">
        <v>755</v>
      </c>
      <c r="N23" s="123" t="s">
        <v>755</v>
      </c>
      <c r="O23" s="123" t="s">
        <v>755</v>
      </c>
      <c r="P23" s="123" t="s">
        <v>755</v>
      </c>
      <c r="Q23" s="123" t="s">
        <v>757</v>
      </c>
      <c r="R23" s="123" t="s">
        <v>777</v>
      </c>
      <c r="S23" s="122">
        <v>4329983</v>
      </c>
      <c r="T23" s="123" t="s">
        <v>757</v>
      </c>
      <c r="U23" s="124"/>
      <c r="V23" s="124"/>
    </row>
    <row r="24" spans="1:22">
      <c r="K24" s="122">
        <v>22</v>
      </c>
      <c r="L24" s="123" t="s">
        <v>755</v>
      </c>
      <c r="M24" s="123" t="s">
        <v>755</v>
      </c>
      <c r="N24" s="123" t="s">
        <v>755</v>
      </c>
      <c r="O24" s="123" t="s">
        <v>755</v>
      </c>
      <c r="P24" s="123" t="s">
        <v>755</v>
      </c>
      <c r="Q24" s="123" t="s">
        <v>757</v>
      </c>
      <c r="R24" s="123" t="s">
        <v>778</v>
      </c>
      <c r="S24" s="122">
        <v>4329983</v>
      </c>
      <c r="T24" s="123" t="s">
        <v>757</v>
      </c>
      <c r="U24" s="124"/>
      <c r="V24" s="124"/>
    </row>
    <row r="25" spans="1:22">
      <c r="K25" s="122">
        <v>23</v>
      </c>
      <c r="L25" s="123" t="s">
        <v>755</v>
      </c>
      <c r="M25" s="123" t="s">
        <v>755</v>
      </c>
      <c r="N25" s="123" t="s">
        <v>755</v>
      </c>
      <c r="O25" s="123" t="s">
        <v>755</v>
      </c>
      <c r="P25" s="123" t="s">
        <v>755</v>
      </c>
      <c r="Q25" s="123" t="s">
        <v>757</v>
      </c>
      <c r="R25" s="123" t="s">
        <v>779</v>
      </c>
      <c r="S25" s="122">
        <v>4329983</v>
      </c>
      <c r="T25" s="123" t="s">
        <v>757</v>
      </c>
      <c r="U25" s="124"/>
      <c r="V25" s="124"/>
    </row>
    <row r="26" spans="1:22">
      <c r="K26" s="122">
        <v>24</v>
      </c>
      <c r="L26" s="123" t="s">
        <v>755</v>
      </c>
      <c r="M26" s="123" t="s">
        <v>755</v>
      </c>
      <c r="N26" s="123" t="s">
        <v>755</v>
      </c>
      <c r="O26" s="123" t="s">
        <v>755</v>
      </c>
      <c r="P26" s="123" t="s">
        <v>755</v>
      </c>
      <c r="Q26" s="123" t="s">
        <v>757</v>
      </c>
      <c r="R26" s="123" t="s">
        <v>780</v>
      </c>
      <c r="S26" s="122">
        <v>4329983</v>
      </c>
      <c r="T26" s="123" t="s">
        <v>757</v>
      </c>
      <c r="U26" s="124"/>
      <c r="V26" s="124"/>
    </row>
    <row r="27" spans="1:22">
      <c r="K27" s="122">
        <v>25</v>
      </c>
      <c r="L27" s="123" t="s">
        <v>755</v>
      </c>
      <c r="M27" s="123" t="s">
        <v>755</v>
      </c>
      <c r="N27" s="123" t="s">
        <v>755</v>
      </c>
      <c r="O27" s="123" t="s">
        <v>755</v>
      </c>
      <c r="P27" s="123" t="s">
        <v>755</v>
      </c>
      <c r="Q27" s="123" t="s">
        <v>757</v>
      </c>
      <c r="R27" s="123" t="s">
        <v>781</v>
      </c>
      <c r="S27" s="122">
        <v>4329983</v>
      </c>
      <c r="T27" s="123" t="s">
        <v>757</v>
      </c>
      <c r="U27" s="124"/>
      <c r="V27" s="124"/>
    </row>
    <row r="28" spans="1:22">
      <c r="K28" s="122">
        <v>26</v>
      </c>
      <c r="L28" s="123" t="s">
        <v>755</v>
      </c>
      <c r="M28" s="123" t="s">
        <v>755</v>
      </c>
      <c r="N28" s="123" t="s">
        <v>755</v>
      </c>
      <c r="O28" s="123" t="s">
        <v>755</v>
      </c>
      <c r="P28" s="123" t="s">
        <v>755</v>
      </c>
      <c r="Q28" s="123" t="s">
        <v>757</v>
      </c>
      <c r="R28" s="123" t="s">
        <v>782</v>
      </c>
      <c r="S28" s="122">
        <v>4329983</v>
      </c>
      <c r="T28" s="123" t="s">
        <v>757</v>
      </c>
      <c r="U28" s="124"/>
      <c r="V28" s="124"/>
    </row>
    <row r="29" spans="1:22">
      <c r="K29" s="122">
        <v>27</v>
      </c>
      <c r="L29" s="123" t="s">
        <v>755</v>
      </c>
      <c r="M29" s="123" t="s">
        <v>755</v>
      </c>
      <c r="N29" s="123" t="s">
        <v>755</v>
      </c>
      <c r="O29" s="123" t="s">
        <v>755</v>
      </c>
      <c r="P29" s="123" t="s">
        <v>755</v>
      </c>
      <c r="Q29" s="123" t="s">
        <v>757</v>
      </c>
      <c r="R29" s="123" t="s">
        <v>783</v>
      </c>
      <c r="S29" s="122">
        <v>4329983</v>
      </c>
      <c r="T29" s="123" t="s">
        <v>757</v>
      </c>
      <c r="U29" s="124"/>
      <c r="V29" s="124"/>
    </row>
    <row r="30" spans="1:22">
      <c r="K30" s="122">
        <v>28</v>
      </c>
      <c r="L30" s="123" t="s">
        <v>755</v>
      </c>
      <c r="M30" s="123" t="s">
        <v>755</v>
      </c>
      <c r="N30" s="123" t="s">
        <v>755</v>
      </c>
      <c r="O30" s="123" t="s">
        <v>755</v>
      </c>
      <c r="P30" s="123" t="s">
        <v>755</v>
      </c>
      <c r="Q30" s="123" t="s">
        <v>757</v>
      </c>
      <c r="R30" s="123" t="s">
        <v>784</v>
      </c>
      <c r="S30" s="122">
        <v>4329983</v>
      </c>
      <c r="T30" s="123" t="s">
        <v>757</v>
      </c>
      <c r="U30" s="124"/>
      <c r="V30" s="124"/>
    </row>
    <row r="31" spans="1:22">
      <c r="K31" s="122">
        <v>29</v>
      </c>
      <c r="L31" s="123" t="s">
        <v>755</v>
      </c>
      <c r="M31" s="123" t="s">
        <v>755</v>
      </c>
      <c r="N31" s="123" t="s">
        <v>755</v>
      </c>
      <c r="O31" s="123" t="s">
        <v>755</v>
      </c>
      <c r="P31" s="123" t="s">
        <v>755</v>
      </c>
      <c r="Q31" s="123" t="s">
        <v>757</v>
      </c>
      <c r="R31" s="123" t="s">
        <v>785</v>
      </c>
      <c r="S31" s="122">
        <v>4329983</v>
      </c>
      <c r="T31" s="123" t="s">
        <v>757</v>
      </c>
      <c r="U31" s="124"/>
      <c r="V31" s="124"/>
    </row>
    <row r="32" spans="1:22">
      <c r="K32" s="122">
        <v>30</v>
      </c>
      <c r="L32" s="123" t="s">
        <v>755</v>
      </c>
      <c r="M32" s="123" t="s">
        <v>755</v>
      </c>
      <c r="N32" s="123" t="s">
        <v>755</v>
      </c>
      <c r="O32" s="123" t="s">
        <v>755</v>
      </c>
      <c r="P32" s="123" t="s">
        <v>755</v>
      </c>
      <c r="Q32" s="123" t="s">
        <v>757</v>
      </c>
      <c r="R32" s="123" t="s">
        <v>786</v>
      </c>
      <c r="S32" s="122">
        <v>4329983</v>
      </c>
      <c r="T32" s="123" t="s">
        <v>757</v>
      </c>
      <c r="U32" s="124"/>
      <c r="V32" s="124"/>
    </row>
    <row r="33" spans="11:22">
      <c r="K33" s="122">
        <v>31</v>
      </c>
      <c r="L33" s="123" t="s">
        <v>755</v>
      </c>
      <c r="M33" s="123" t="s">
        <v>755</v>
      </c>
      <c r="N33" s="123" t="s">
        <v>755</v>
      </c>
      <c r="O33" s="123" t="s">
        <v>755</v>
      </c>
      <c r="P33" s="123" t="s">
        <v>755</v>
      </c>
      <c r="Q33" s="123" t="s">
        <v>757</v>
      </c>
      <c r="R33" s="123" t="s">
        <v>787</v>
      </c>
      <c r="S33" s="122">
        <v>4329983</v>
      </c>
      <c r="T33" s="123" t="s">
        <v>757</v>
      </c>
      <c r="U33" s="124"/>
      <c r="V33" s="124"/>
    </row>
    <row r="34" spans="11:22">
      <c r="K34" s="122">
        <v>32</v>
      </c>
      <c r="L34" s="123" t="s">
        <v>755</v>
      </c>
      <c r="M34" s="123" t="s">
        <v>755</v>
      </c>
      <c r="N34" s="123" t="s">
        <v>755</v>
      </c>
      <c r="O34" s="123" t="s">
        <v>755</v>
      </c>
      <c r="P34" s="123" t="s">
        <v>755</v>
      </c>
      <c r="Q34" s="123" t="s">
        <v>757</v>
      </c>
      <c r="R34" s="123" t="s">
        <v>788</v>
      </c>
      <c r="S34" s="122">
        <v>4329983</v>
      </c>
      <c r="T34" s="123" t="s">
        <v>757</v>
      </c>
      <c r="U34" s="124"/>
      <c r="V34" s="124"/>
    </row>
    <row r="35" spans="11:22">
      <c r="K35" s="122">
        <v>33</v>
      </c>
      <c r="L35" s="123" t="s">
        <v>755</v>
      </c>
      <c r="M35" s="123" t="s">
        <v>755</v>
      </c>
      <c r="N35" s="123" t="s">
        <v>755</v>
      </c>
      <c r="O35" s="123" t="s">
        <v>755</v>
      </c>
      <c r="P35" s="123" t="s">
        <v>755</v>
      </c>
      <c r="Q35" s="123" t="s">
        <v>757</v>
      </c>
      <c r="R35" s="123" t="s">
        <v>789</v>
      </c>
      <c r="S35" s="122">
        <v>4329983</v>
      </c>
      <c r="T35" s="123" t="s">
        <v>757</v>
      </c>
      <c r="U35" s="124"/>
      <c r="V35" s="124"/>
    </row>
    <row r="36" spans="11:22">
      <c r="K36" s="122">
        <v>34</v>
      </c>
      <c r="L36" s="123" t="s">
        <v>755</v>
      </c>
      <c r="M36" s="123" t="s">
        <v>755</v>
      </c>
      <c r="N36" s="123" t="s">
        <v>755</v>
      </c>
      <c r="O36" s="123" t="s">
        <v>755</v>
      </c>
      <c r="P36" s="123" t="s">
        <v>755</v>
      </c>
      <c r="Q36" s="123" t="s">
        <v>757</v>
      </c>
      <c r="R36" s="123" t="s">
        <v>790</v>
      </c>
      <c r="S36" s="122">
        <v>4329983</v>
      </c>
      <c r="T36" s="123" t="s">
        <v>757</v>
      </c>
      <c r="U36" s="124"/>
      <c r="V36" s="124"/>
    </row>
    <row r="37" spans="11:22">
      <c r="K37" s="122">
        <v>35</v>
      </c>
      <c r="L37" s="123" t="s">
        <v>755</v>
      </c>
      <c r="M37" s="123" t="s">
        <v>755</v>
      </c>
      <c r="N37" s="123" t="s">
        <v>755</v>
      </c>
      <c r="O37" s="123" t="s">
        <v>755</v>
      </c>
      <c r="P37" s="123" t="s">
        <v>755</v>
      </c>
      <c r="Q37" s="123" t="s">
        <v>757</v>
      </c>
      <c r="R37" s="123" t="s">
        <v>791</v>
      </c>
      <c r="S37" s="122">
        <v>4329983</v>
      </c>
      <c r="T37" s="123" t="s">
        <v>757</v>
      </c>
      <c r="U37" s="124"/>
      <c r="V37" s="124"/>
    </row>
    <row r="38" spans="11:22">
      <c r="K38" s="122">
        <v>36</v>
      </c>
      <c r="L38" s="123" t="s">
        <v>755</v>
      </c>
      <c r="M38" s="123" t="s">
        <v>755</v>
      </c>
      <c r="N38" s="123" t="s">
        <v>755</v>
      </c>
      <c r="O38" s="123" t="s">
        <v>755</v>
      </c>
      <c r="P38" s="123" t="s">
        <v>755</v>
      </c>
      <c r="Q38" s="123" t="s">
        <v>757</v>
      </c>
      <c r="R38" s="123" t="s">
        <v>792</v>
      </c>
      <c r="S38" s="122">
        <v>4329983</v>
      </c>
      <c r="T38" s="123" t="s">
        <v>757</v>
      </c>
      <c r="U38" s="124"/>
      <c r="V38" s="124"/>
    </row>
    <row r="39" spans="11:22">
      <c r="K39" s="122">
        <v>37</v>
      </c>
      <c r="L39" s="123" t="s">
        <v>755</v>
      </c>
      <c r="M39" s="123" t="s">
        <v>755</v>
      </c>
      <c r="N39" s="123" t="s">
        <v>755</v>
      </c>
      <c r="O39" s="123" t="s">
        <v>755</v>
      </c>
      <c r="P39" s="123" t="s">
        <v>755</v>
      </c>
      <c r="Q39" s="123" t="s">
        <v>757</v>
      </c>
      <c r="R39" s="123" t="s">
        <v>793</v>
      </c>
      <c r="S39" s="122">
        <v>4329983</v>
      </c>
      <c r="T39" s="123" t="s">
        <v>757</v>
      </c>
      <c r="U39" s="124"/>
      <c r="V39" s="124"/>
    </row>
    <row r="40" spans="11:22">
      <c r="K40" s="122">
        <v>38</v>
      </c>
      <c r="L40" s="123" t="s">
        <v>755</v>
      </c>
      <c r="M40" s="123" t="s">
        <v>755</v>
      </c>
      <c r="N40" s="123" t="s">
        <v>755</v>
      </c>
      <c r="O40" s="123" t="s">
        <v>755</v>
      </c>
      <c r="P40" s="123" t="s">
        <v>755</v>
      </c>
      <c r="Q40" s="123" t="s">
        <v>757</v>
      </c>
      <c r="R40" s="123" t="s">
        <v>794</v>
      </c>
      <c r="S40" s="122">
        <v>4329983</v>
      </c>
      <c r="T40" s="123" t="s">
        <v>757</v>
      </c>
      <c r="U40" s="124"/>
      <c r="V40" s="124"/>
    </row>
    <row r="41" spans="11:22">
      <c r="K41" s="122">
        <v>39</v>
      </c>
      <c r="L41" s="123" t="s">
        <v>755</v>
      </c>
      <c r="M41" s="123" t="s">
        <v>755</v>
      </c>
      <c r="N41" s="123" t="s">
        <v>755</v>
      </c>
      <c r="O41" s="123" t="s">
        <v>755</v>
      </c>
      <c r="P41" s="123" t="s">
        <v>755</v>
      </c>
      <c r="Q41" s="123" t="s">
        <v>757</v>
      </c>
      <c r="R41" s="123" t="s">
        <v>795</v>
      </c>
      <c r="S41" s="122">
        <v>4329983</v>
      </c>
      <c r="T41" s="123" t="s">
        <v>757</v>
      </c>
      <c r="U41" s="124"/>
      <c r="V41" s="124"/>
    </row>
    <row r="42" spans="11:22">
      <c r="K42" s="122">
        <v>40</v>
      </c>
      <c r="L42" s="123" t="s">
        <v>755</v>
      </c>
      <c r="M42" s="123" t="s">
        <v>755</v>
      </c>
      <c r="N42" s="123" t="s">
        <v>755</v>
      </c>
      <c r="O42" s="123" t="s">
        <v>755</v>
      </c>
      <c r="P42" s="123" t="s">
        <v>755</v>
      </c>
      <c r="Q42" s="123" t="s">
        <v>757</v>
      </c>
      <c r="R42" s="123" t="s">
        <v>796</v>
      </c>
      <c r="S42" s="122">
        <v>4329983</v>
      </c>
      <c r="T42" s="123" t="s">
        <v>757</v>
      </c>
      <c r="U42" s="124"/>
      <c r="V42" s="124"/>
    </row>
    <row r="43" spans="11:22">
      <c r="K43" s="122">
        <v>41</v>
      </c>
      <c r="L43" s="123" t="s">
        <v>755</v>
      </c>
      <c r="M43" s="123" t="s">
        <v>755</v>
      </c>
      <c r="N43" s="123" t="s">
        <v>755</v>
      </c>
      <c r="O43" s="123" t="s">
        <v>755</v>
      </c>
      <c r="P43" s="123" t="s">
        <v>755</v>
      </c>
      <c r="Q43" s="123" t="s">
        <v>757</v>
      </c>
      <c r="R43" s="123" t="s">
        <v>797</v>
      </c>
      <c r="S43" s="122">
        <v>4329983</v>
      </c>
      <c r="T43" s="123" t="s">
        <v>757</v>
      </c>
      <c r="U43" s="124"/>
      <c r="V43" s="124"/>
    </row>
    <row r="44" spans="11:22">
      <c r="K44" s="122">
        <v>42</v>
      </c>
      <c r="L44" s="123" t="s">
        <v>755</v>
      </c>
      <c r="M44" s="123" t="s">
        <v>755</v>
      </c>
      <c r="N44" s="123" t="s">
        <v>755</v>
      </c>
      <c r="O44" s="123" t="s">
        <v>755</v>
      </c>
      <c r="P44" s="123" t="s">
        <v>755</v>
      </c>
      <c r="Q44" s="123" t="s">
        <v>757</v>
      </c>
      <c r="R44" s="123" t="s">
        <v>798</v>
      </c>
      <c r="S44" s="122">
        <v>4329983</v>
      </c>
      <c r="T44" s="123" t="s">
        <v>757</v>
      </c>
      <c r="U44" s="124"/>
      <c r="V44" s="124"/>
    </row>
    <row r="45" spans="11:22">
      <c r="K45" s="122">
        <v>43</v>
      </c>
      <c r="L45" s="123" t="s">
        <v>755</v>
      </c>
      <c r="M45" s="123" t="s">
        <v>755</v>
      </c>
      <c r="N45" s="123" t="s">
        <v>755</v>
      </c>
      <c r="O45" s="123" t="s">
        <v>755</v>
      </c>
      <c r="P45" s="123" t="s">
        <v>755</v>
      </c>
      <c r="Q45" s="123" t="s">
        <v>757</v>
      </c>
      <c r="R45" s="123" t="s">
        <v>799</v>
      </c>
      <c r="S45" s="122">
        <v>4329983</v>
      </c>
      <c r="T45" s="123" t="s">
        <v>757</v>
      </c>
      <c r="U45" s="124"/>
      <c r="V45" s="124"/>
    </row>
    <row r="46" spans="11:22">
      <c r="K46" s="122">
        <v>44</v>
      </c>
      <c r="L46" s="123" t="s">
        <v>755</v>
      </c>
      <c r="M46" s="123" t="s">
        <v>755</v>
      </c>
      <c r="N46" s="123" t="s">
        <v>755</v>
      </c>
      <c r="O46" s="123" t="s">
        <v>755</v>
      </c>
      <c r="P46" s="123" t="s">
        <v>755</v>
      </c>
      <c r="Q46" s="123" t="s">
        <v>757</v>
      </c>
      <c r="R46" s="123" t="s">
        <v>800</v>
      </c>
      <c r="S46" s="122">
        <v>4329983</v>
      </c>
      <c r="T46" s="123" t="s">
        <v>757</v>
      </c>
      <c r="U46" s="124"/>
      <c r="V46" s="124"/>
    </row>
    <row r="47" spans="11:22">
      <c r="K47" s="122">
        <v>45</v>
      </c>
      <c r="L47" s="123" t="s">
        <v>755</v>
      </c>
      <c r="M47" s="123" t="s">
        <v>755</v>
      </c>
      <c r="N47" s="123" t="s">
        <v>755</v>
      </c>
      <c r="O47" s="123" t="s">
        <v>755</v>
      </c>
      <c r="P47" s="123" t="s">
        <v>755</v>
      </c>
      <c r="Q47" s="123" t="s">
        <v>757</v>
      </c>
      <c r="R47" s="123" t="s">
        <v>801</v>
      </c>
      <c r="S47" s="122">
        <v>4329983</v>
      </c>
      <c r="T47" s="123" t="s">
        <v>757</v>
      </c>
      <c r="U47" s="124"/>
      <c r="V47" s="124"/>
    </row>
    <row r="48" spans="11:22">
      <c r="K48" s="122">
        <v>46</v>
      </c>
      <c r="L48" s="123" t="s">
        <v>755</v>
      </c>
      <c r="M48" s="123" t="s">
        <v>755</v>
      </c>
      <c r="N48" s="123" t="s">
        <v>755</v>
      </c>
      <c r="O48" s="123" t="s">
        <v>755</v>
      </c>
      <c r="P48" s="123" t="s">
        <v>755</v>
      </c>
      <c r="Q48" s="123" t="s">
        <v>757</v>
      </c>
      <c r="R48" s="123" t="s">
        <v>802</v>
      </c>
      <c r="S48" s="122">
        <v>4329983</v>
      </c>
      <c r="T48" s="123" t="s">
        <v>757</v>
      </c>
      <c r="U48" s="124"/>
      <c r="V48" s="124"/>
    </row>
    <row r="49" spans="11:22">
      <c r="K49" s="122">
        <v>47</v>
      </c>
      <c r="L49" s="123" t="s">
        <v>755</v>
      </c>
      <c r="M49" s="123" t="s">
        <v>755</v>
      </c>
      <c r="N49" s="123" t="s">
        <v>755</v>
      </c>
      <c r="O49" s="123" t="s">
        <v>755</v>
      </c>
      <c r="P49" s="123" t="s">
        <v>755</v>
      </c>
      <c r="Q49" s="123" t="s">
        <v>757</v>
      </c>
      <c r="R49" s="123" t="s">
        <v>803</v>
      </c>
      <c r="S49" s="122">
        <v>4329983</v>
      </c>
      <c r="T49" s="123" t="s">
        <v>757</v>
      </c>
      <c r="U49" s="124"/>
      <c r="V49" s="124"/>
    </row>
  </sheetData>
  <phoneticPr fontId="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F34BF-807B-4EEB-8DE2-0C6CC2EACBFF}">
  <sheetPr codeName="Sheet15"/>
  <dimension ref="A1:X56"/>
  <sheetViews>
    <sheetView workbookViewId="0"/>
  </sheetViews>
  <sheetFormatPr defaultRowHeight="18.75"/>
  <cols>
    <col min="1" max="1" width="30" bestFit="1" customWidth="1"/>
    <col min="2" max="2" width="16.625" bestFit="1" customWidth="1"/>
    <col min="3" max="3" width="11.625" bestFit="1" customWidth="1"/>
    <col min="4" max="4" width="10.625" bestFit="1" customWidth="1"/>
    <col min="5" max="5" width="12.625" customWidth="1"/>
    <col min="6" max="6" width="20.125" customWidth="1"/>
    <col min="7" max="7" width="53" customWidth="1"/>
    <col min="9" max="9" width="12.125" style="60" customWidth="1"/>
    <col min="10" max="10" width="9.875" style="60" bestFit="1" customWidth="1"/>
    <col min="11" max="11" width="32.125" style="60" customWidth="1"/>
    <col min="12" max="12" width="22.875" style="60" bestFit="1" customWidth="1"/>
    <col min="13" max="13" width="9.125" style="60" bestFit="1" customWidth="1"/>
    <col min="14" max="14" width="18.75" style="60" bestFit="1" customWidth="1"/>
    <col min="15" max="15" width="24.625" style="60" bestFit="1" customWidth="1"/>
    <col min="16" max="24" width="8.625" style="60"/>
  </cols>
  <sheetData>
    <row r="1" spans="1:15">
      <c r="A1" s="6" t="s">
        <v>86</v>
      </c>
      <c r="J1" s="6" t="s">
        <v>807</v>
      </c>
    </row>
    <row r="2" spans="1:15">
      <c r="A2" s="2" t="s">
        <v>0</v>
      </c>
      <c r="B2" s="2" t="s">
        <v>1</v>
      </c>
      <c r="C2" s="2" t="s">
        <v>2</v>
      </c>
      <c r="D2" s="2" t="s">
        <v>8</v>
      </c>
      <c r="E2" s="5" t="s">
        <v>151</v>
      </c>
      <c r="F2" s="5" t="s">
        <v>63</v>
      </c>
      <c r="G2" s="5" t="s">
        <v>145</v>
      </c>
      <c r="J2" s="125" t="s">
        <v>57</v>
      </c>
      <c r="K2" s="125" t="s">
        <v>132</v>
      </c>
      <c r="L2" s="125" t="s">
        <v>829</v>
      </c>
      <c r="M2" s="125" t="s">
        <v>55</v>
      </c>
      <c r="N2" s="251" t="s">
        <v>133</v>
      </c>
      <c r="O2" s="125" t="s">
        <v>134</v>
      </c>
    </row>
    <row r="3" spans="1:15">
      <c r="A3" s="12" t="s">
        <v>57</v>
      </c>
      <c r="B3" s="12" t="s">
        <v>3</v>
      </c>
      <c r="C3" s="12"/>
      <c r="D3" s="12" t="s">
        <v>9</v>
      </c>
      <c r="E3" s="32" t="s">
        <v>150</v>
      </c>
      <c r="F3" s="12" t="s">
        <v>144</v>
      </c>
      <c r="G3" s="12" t="s">
        <v>1162</v>
      </c>
      <c r="J3" s="126">
        <v>8010016</v>
      </c>
      <c r="K3" s="127" t="s">
        <v>1173</v>
      </c>
      <c r="L3" s="126">
        <v>38004515</v>
      </c>
      <c r="M3" s="126">
        <v>1</v>
      </c>
      <c r="N3" s="252">
        <v>8010016</v>
      </c>
      <c r="O3" s="127" t="s">
        <v>1815</v>
      </c>
    </row>
    <row r="4" spans="1:15">
      <c r="A4" s="12" t="s">
        <v>132</v>
      </c>
      <c r="B4" s="12" t="s">
        <v>4</v>
      </c>
      <c r="C4" s="12">
        <v>255</v>
      </c>
      <c r="D4" s="12" t="s">
        <v>10</v>
      </c>
      <c r="E4" s="32" t="s">
        <v>150</v>
      </c>
      <c r="F4" s="12" t="s">
        <v>144</v>
      </c>
      <c r="G4" s="12" t="s">
        <v>167</v>
      </c>
      <c r="J4" s="126">
        <v>8010146</v>
      </c>
      <c r="K4" s="127" t="s">
        <v>1174</v>
      </c>
      <c r="L4" s="126">
        <v>38004515</v>
      </c>
      <c r="M4" s="126">
        <v>4</v>
      </c>
      <c r="N4" s="252">
        <v>8010146</v>
      </c>
      <c r="O4" s="127" t="s">
        <v>1815</v>
      </c>
    </row>
    <row r="5" spans="1:15">
      <c r="A5" s="12" t="s">
        <v>348</v>
      </c>
      <c r="B5" s="12" t="s">
        <v>3</v>
      </c>
      <c r="C5" s="12"/>
      <c r="D5" s="12" t="s">
        <v>10</v>
      </c>
      <c r="E5" s="32" t="s">
        <v>150</v>
      </c>
      <c r="F5" s="12" t="s">
        <v>144</v>
      </c>
      <c r="G5" s="12" t="s">
        <v>1163</v>
      </c>
      <c r="J5" s="126">
        <v>8814790</v>
      </c>
      <c r="K5" s="127" t="s">
        <v>1185</v>
      </c>
      <c r="L5" s="126">
        <v>38004515</v>
      </c>
      <c r="M5" s="126">
        <v>13</v>
      </c>
      <c r="N5" s="252">
        <v>8814790</v>
      </c>
      <c r="O5" s="127" t="s">
        <v>1815</v>
      </c>
    </row>
    <row r="6" spans="1:15" ht="27">
      <c r="A6" s="12" t="s">
        <v>1128</v>
      </c>
      <c r="B6" s="12" t="s">
        <v>3</v>
      </c>
      <c r="C6" s="12"/>
      <c r="D6" s="12" t="s">
        <v>10</v>
      </c>
      <c r="E6" s="32" t="s">
        <v>150</v>
      </c>
      <c r="F6" s="12" t="s">
        <v>144</v>
      </c>
      <c r="G6" s="12" t="s">
        <v>1164</v>
      </c>
      <c r="J6" s="126">
        <v>8616104</v>
      </c>
      <c r="K6" s="127" t="s">
        <v>1175</v>
      </c>
      <c r="L6" s="126">
        <v>38004268</v>
      </c>
      <c r="M6" s="126">
        <v>13</v>
      </c>
      <c r="N6" s="252">
        <v>8616104</v>
      </c>
      <c r="O6" s="127" t="s">
        <v>1817</v>
      </c>
    </row>
    <row r="7" spans="1:15">
      <c r="A7" s="12" t="s">
        <v>133</v>
      </c>
      <c r="B7" s="12" t="s">
        <v>4</v>
      </c>
      <c r="C7" s="12">
        <v>50</v>
      </c>
      <c r="D7" s="12" t="s">
        <v>10</v>
      </c>
      <c r="E7" s="32" t="s">
        <v>150</v>
      </c>
      <c r="F7" s="12" t="s">
        <v>144</v>
      </c>
      <c r="G7" s="12" t="s">
        <v>1165</v>
      </c>
      <c r="J7" s="126">
        <v>9110057</v>
      </c>
      <c r="K7" s="127" t="s">
        <v>830</v>
      </c>
      <c r="L7" s="126">
        <v>38004268</v>
      </c>
      <c r="M7" s="126">
        <v>12</v>
      </c>
      <c r="N7" s="252">
        <v>9110057</v>
      </c>
      <c r="O7" s="127" t="s">
        <v>1816</v>
      </c>
    </row>
    <row r="8" spans="1:15">
      <c r="A8" s="61" t="s">
        <v>134</v>
      </c>
      <c r="B8" s="61" t="s">
        <v>4</v>
      </c>
      <c r="C8" s="61">
        <v>50</v>
      </c>
      <c r="D8" s="61" t="s">
        <v>10</v>
      </c>
      <c r="E8" s="61"/>
      <c r="F8" s="61"/>
      <c r="G8" s="62" t="s">
        <v>68</v>
      </c>
      <c r="J8" s="126">
        <v>514836</v>
      </c>
      <c r="K8" s="127" t="s">
        <v>1176</v>
      </c>
      <c r="L8" s="126">
        <v>38004515</v>
      </c>
      <c r="M8" s="126">
        <v>13</v>
      </c>
      <c r="N8" s="252" t="s">
        <v>1826</v>
      </c>
      <c r="O8" s="127" t="s">
        <v>1815</v>
      </c>
    </row>
    <row r="9" spans="1:15">
      <c r="J9" s="126">
        <v>415067</v>
      </c>
      <c r="K9" s="127" t="s">
        <v>1177</v>
      </c>
      <c r="L9" s="126">
        <v>38004515</v>
      </c>
      <c r="M9" s="126">
        <v>13</v>
      </c>
      <c r="N9" s="252" t="s">
        <v>1827</v>
      </c>
      <c r="O9" s="127" t="s">
        <v>1815</v>
      </c>
    </row>
    <row r="10" spans="1:15">
      <c r="A10" t="s">
        <v>1167</v>
      </c>
      <c r="J10" s="126">
        <v>9210014</v>
      </c>
      <c r="K10" s="127" t="s">
        <v>1178</v>
      </c>
      <c r="L10" s="126">
        <v>38004515</v>
      </c>
      <c r="M10" s="126">
        <v>12</v>
      </c>
      <c r="N10" s="252">
        <v>9210014</v>
      </c>
      <c r="O10" s="127" t="s">
        <v>1815</v>
      </c>
    </row>
    <row r="11" spans="1:15">
      <c r="A11" t="s">
        <v>1168</v>
      </c>
      <c r="J11" s="126">
        <v>9900110</v>
      </c>
      <c r="K11" s="127" t="s">
        <v>831</v>
      </c>
      <c r="L11" s="126">
        <v>38004515</v>
      </c>
      <c r="M11" s="126">
        <v>23</v>
      </c>
      <c r="N11" s="252">
        <v>9900110</v>
      </c>
      <c r="O11" s="127" t="s">
        <v>1815</v>
      </c>
    </row>
    <row r="12" spans="1:15">
      <c r="J12" s="126">
        <v>9900042</v>
      </c>
      <c r="K12" s="127" t="s">
        <v>1179</v>
      </c>
      <c r="L12" s="126">
        <v>38004515</v>
      </c>
      <c r="M12" s="126">
        <v>26</v>
      </c>
      <c r="N12" s="252">
        <v>9900042</v>
      </c>
      <c r="O12" s="127" t="s">
        <v>1815</v>
      </c>
    </row>
    <row r="13" spans="1:15">
      <c r="J13" s="126">
        <v>9900249</v>
      </c>
      <c r="K13" s="127" t="s">
        <v>832</v>
      </c>
      <c r="L13" s="126">
        <v>38004515</v>
      </c>
      <c r="M13" s="126">
        <v>27</v>
      </c>
      <c r="N13" s="252">
        <v>9900249</v>
      </c>
      <c r="O13" s="127" t="s">
        <v>1815</v>
      </c>
    </row>
    <row r="14" spans="1:15">
      <c r="A14" s="6" t="s">
        <v>335</v>
      </c>
      <c r="J14" s="126">
        <v>9900099</v>
      </c>
      <c r="K14" s="127" t="s">
        <v>1180</v>
      </c>
      <c r="L14" s="126">
        <v>38004515</v>
      </c>
      <c r="M14" s="126">
        <v>28</v>
      </c>
      <c r="N14" s="252">
        <v>9900099</v>
      </c>
      <c r="O14" s="127" t="s">
        <v>1815</v>
      </c>
    </row>
    <row r="15" spans="1:15">
      <c r="A15" t="s">
        <v>1818</v>
      </c>
      <c r="J15" s="126">
        <v>9800011</v>
      </c>
      <c r="K15" s="127" t="s">
        <v>1181</v>
      </c>
      <c r="L15" s="126">
        <v>38004515</v>
      </c>
      <c r="M15" s="126">
        <v>33</v>
      </c>
      <c r="N15" s="252">
        <v>9800011</v>
      </c>
      <c r="O15" s="127" t="s">
        <v>1815</v>
      </c>
    </row>
    <row r="16" spans="1:15">
      <c r="A16" t="s">
        <v>1819</v>
      </c>
      <c r="J16" s="126">
        <v>9819897</v>
      </c>
      <c r="K16" s="127" t="s">
        <v>1182</v>
      </c>
      <c r="L16" s="126">
        <v>38004515</v>
      </c>
      <c r="M16" s="126">
        <v>40</v>
      </c>
      <c r="N16" s="252">
        <v>9819897</v>
      </c>
      <c r="O16" s="127" t="s">
        <v>1815</v>
      </c>
    </row>
    <row r="17" spans="1:15">
      <c r="A17" t="s">
        <v>1821</v>
      </c>
      <c r="J17" s="126">
        <v>8010132</v>
      </c>
      <c r="K17" s="127" t="s">
        <v>1183</v>
      </c>
      <c r="L17" s="126">
        <v>38004515</v>
      </c>
      <c r="M17" s="126">
        <v>42</v>
      </c>
      <c r="N17" s="252">
        <v>8010132</v>
      </c>
      <c r="O17" s="127" t="s">
        <v>1815</v>
      </c>
    </row>
    <row r="18" spans="1:15">
      <c r="A18" t="s">
        <v>1823</v>
      </c>
      <c r="J18" s="126">
        <v>8010017</v>
      </c>
      <c r="K18" s="127" t="s">
        <v>1184</v>
      </c>
      <c r="L18" s="126">
        <v>38004515</v>
      </c>
      <c r="M18" s="126">
        <v>34</v>
      </c>
      <c r="N18" s="252">
        <v>8010017</v>
      </c>
      <c r="O18" s="127" t="s">
        <v>1815</v>
      </c>
    </row>
    <row r="19" spans="1:15">
      <c r="A19" t="s">
        <v>650</v>
      </c>
      <c r="J19" s="126"/>
      <c r="K19" s="127"/>
      <c r="L19" s="126"/>
      <c r="M19" s="126"/>
      <c r="N19" s="253"/>
      <c r="O19" s="127"/>
    </row>
    <row r="20" spans="1:15">
      <c r="A20" t="s">
        <v>1824</v>
      </c>
      <c r="J20" s="126"/>
      <c r="K20" s="127"/>
      <c r="L20" s="126"/>
      <c r="M20" s="126"/>
      <c r="N20" s="253"/>
      <c r="O20" s="127"/>
    </row>
    <row r="21" spans="1:15">
      <c r="A21" t="s">
        <v>1825</v>
      </c>
      <c r="J21" s="126"/>
      <c r="K21" s="127"/>
      <c r="L21" s="126"/>
      <c r="M21" s="126"/>
      <c r="N21" s="253"/>
      <c r="O21" s="127"/>
    </row>
    <row r="22" spans="1:15">
      <c r="A22" t="s">
        <v>328</v>
      </c>
      <c r="J22" s="126"/>
      <c r="K22" s="127"/>
      <c r="L22" s="126"/>
      <c r="M22" s="126"/>
      <c r="N22" s="253"/>
      <c r="O22" s="127"/>
    </row>
    <row r="23" spans="1:15">
      <c r="A23" t="s">
        <v>652</v>
      </c>
      <c r="J23" s="126"/>
      <c r="K23" s="127"/>
      <c r="L23" s="126"/>
      <c r="M23" s="126"/>
      <c r="N23" s="253"/>
      <c r="O23" s="127"/>
    </row>
    <row r="24" spans="1:15">
      <c r="A24" t="s">
        <v>329</v>
      </c>
      <c r="J24" s="126"/>
      <c r="K24" s="127"/>
      <c r="L24" s="126"/>
      <c r="M24" s="126"/>
      <c r="N24" s="253"/>
      <c r="O24" s="127"/>
    </row>
    <row r="25" spans="1:15">
      <c r="A25" t="s">
        <v>651</v>
      </c>
    </row>
    <row r="26" spans="1:15">
      <c r="A26" t="s">
        <v>330</v>
      </c>
    </row>
    <row r="27" spans="1:15">
      <c r="A27" t="s">
        <v>331</v>
      </c>
    </row>
    <row r="28" spans="1:15">
      <c r="A28" t="s">
        <v>332</v>
      </c>
    </row>
    <row r="29" spans="1:15">
      <c r="A29" t="s">
        <v>333</v>
      </c>
    </row>
    <row r="30" spans="1:15">
      <c r="A30" t="s">
        <v>334</v>
      </c>
    </row>
    <row r="32" spans="1:15">
      <c r="A32" s="7" t="s">
        <v>336</v>
      </c>
    </row>
    <row r="33" spans="1:5">
      <c r="A33" s="7" t="s">
        <v>327</v>
      </c>
    </row>
    <row r="40" spans="1:5">
      <c r="C40" t="s">
        <v>1171</v>
      </c>
      <c r="D40" t="s">
        <v>828</v>
      </c>
      <c r="E40" t="s">
        <v>1172</v>
      </c>
    </row>
    <row r="41" spans="1:5">
      <c r="A41" t="s">
        <v>808</v>
      </c>
      <c r="C41" t="s">
        <v>809</v>
      </c>
      <c r="D41">
        <v>8010016</v>
      </c>
      <c r="E41">
        <v>1</v>
      </c>
    </row>
    <row r="42" spans="1:5">
      <c r="A42" t="s">
        <v>811</v>
      </c>
      <c r="C42" t="s">
        <v>812</v>
      </c>
      <c r="D42">
        <v>8010146</v>
      </c>
      <c r="E42">
        <v>4</v>
      </c>
    </row>
    <row r="43" spans="1:5">
      <c r="A43" t="s">
        <v>1820</v>
      </c>
      <c r="C43" t="s">
        <v>813</v>
      </c>
      <c r="D43">
        <v>8814790</v>
      </c>
      <c r="E43">
        <v>13</v>
      </c>
    </row>
    <row r="44" spans="1:5">
      <c r="A44" t="s">
        <v>1822</v>
      </c>
      <c r="C44" t="s">
        <v>814</v>
      </c>
      <c r="D44">
        <v>8616104</v>
      </c>
      <c r="E44">
        <v>13</v>
      </c>
    </row>
    <row r="45" spans="1:5">
      <c r="A45" t="s">
        <v>815</v>
      </c>
      <c r="C45" t="s">
        <v>816</v>
      </c>
      <c r="D45">
        <v>9110057</v>
      </c>
      <c r="E45">
        <v>12</v>
      </c>
    </row>
    <row r="46" spans="1:5">
      <c r="A46" t="s">
        <v>817</v>
      </c>
      <c r="C46" t="s">
        <v>818</v>
      </c>
      <c r="D46">
        <v>514836</v>
      </c>
      <c r="E46">
        <v>13</v>
      </c>
    </row>
    <row r="47" spans="1:5">
      <c r="A47" t="s">
        <v>286</v>
      </c>
      <c r="C47" t="s">
        <v>819</v>
      </c>
      <c r="D47">
        <v>415067</v>
      </c>
      <c r="E47">
        <v>13</v>
      </c>
    </row>
    <row r="48" spans="1:5">
      <c r="A48" t="s">
        <v>820</v>
      </c>
      <c r="C48" t="s">
        <v>821</v>
      </c>
      <c r="D48">
        <v>9210014</v>
      </c>
      <c r="E48">
        <v>12</v>
      </c>
    </row>
    <row r="49" spans="1:5">
      <c r="A49" t="s">
        <v>287</v>
      </c>
      <c r="C49" t="s">
        <v>822</v>
      </c>
      <c r="D49">
        <v>9900110</v>
      </c>
      <c r="E49">
        <v>23</v>
      </c>
    </row>
    <row r="50" spans="1:5">
      <c r="A50" t="s">
        <v>285</v>
      </c>
      <c r="C50" t="s">
        <v>823</v>
      </c>
      <c r="D50">
        <v>9900042</v>
      </c>
      <c r="E50">
        <v>26</v>
      </c>
    </row>
    <row r="51" spans="1:5">
      <c r="A51" t="s">
        <v>284</v>
      </c>
      <c r="C51" t="s">
        <v>824</v>
      </c>
      <c r="D51">
        <v>9900249</v>
      </c>
      <c r="E51">
        <v>27</v>
      </c>
    </row>
    <row r="52" spans="1:5">
      <c r="A52" t="s">
        <v>288</v>
      </c>
      <c r="C52" t="s">
        <v>825</v>
      </c>
      <c r="D52">
        <v>9900099</v>
      </c>
      <c r="E52">
        <v>28</v>
      </c>
    </row>
    <row r="53" spans="1:5">
      <c r="A53" t="s">
        <v>289</v>
      </c>
      <c r="C53" t="s">
        <v>826</v>
      </c>
      <c r="D53">
        <v>9800011</v>
      </c>
      <c r="E53">
        <v>33</v>
      </c>
    </row>
    <row r="54" spans="1:5">
      <c r="A54" t="s">
        <v>290</v>
      </c>
      <c r="C54" t="s">
        <v>827</v>
      </c>
      <c r="D54">
        <v>9819897</v>
      </c>
      <c r="E54">
        <v>40</v>
      </c>
    </row>
    <row r="55" spans="1:5">
      <c r="A55" t="s">
        <v>1169</v>
      </c>
      <c r="D55">
        <v>8010132</v>
      </c>
      <c r="E55">
        <v>42</v>
      </c>
    </row>
    <row r="56" spans="1:5">
      <c r="A56" t="s">
        <v>1170</v>
      </c>
      <c r="D56">
        <v>8010017</v>
      </c>
      <c r="E56">
        <v>34</v>
      </c>
    </row>
  </sheetData>
  <phoneticPr fontId="1"/>
  <hyperlinks>
    <hyperlink ref="A33" r:id="rId1" xr:uid="{ECD0F8DC-50D8-45B6-82A3-B1A6DAEFA300}"/>
    <hyperlink ref="A32" r:id="rId2" xr:uid="{002B82BF-9184-424B-A2D4-594B8CA7E593}"/>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E6C01-AAB0-428D-B49F-A5021EB28114}">
  <sheetPr codeName="Sheet16"/>
  <dimension ref="A1:X346"/>
  <sheetViews>
    <sheetView workbookViewId="0"/>
  </sheetViews>
  <sheetFormatPr defaultRowHeight="18.75"/>
  <cols>
    <col min="1" max="1" width="30" bestFit="1" customWidth="1"/>
    <col min="2" max="2" width="16.625" bestFit="1" customWidth="1"/>
    <col min="3" max="3" width="11.625" bestFit="1" customWidth="1"/>
    <col min="4" max="4" width="10.625" bestFit="1" customWidth="1"/>
    <col min="5" max="5" width="12.625" customWidth="1"/>
    <col min="6" max="6" width="20.125" customWidth="1"/>
    <col min="7" max="7" width="42.875" style="3" customWidth="1"/>
    <col min="9" max="9" width="11.125" style="60" bestFit="1" customWidth="1"/>
    <col min="10" max="10" width="9.375" style="60" bestFit="1" customWidth="1"/>
    <col min="11" max="11" width="17.375" style="60" bestFit="1" customWidth="1"/>
    <col min="12" max="12" width="3.375" style="60" bestFit="1" customWidth="1"/>
    <col min="13" max="13" width="9.125" style="60" bestFit="1" customWidth="1"/>
    <col min="14" max="14" width="17.125" style="60" bestFit="1" customWidth="1"/>
    <col min="15" max="15" width="9.875" style="60" bestFit="1" customWidth="1"/>
    <col min="16" max="16" width="10.75" style="60" bestFit="1" customWidth="1"/>
    <col min="17" max="17" width="15.375" style="60" bestFit="1" customWidth="1"/>
    <col min="18" max="18" width="18.25" style="60" bestFit="1" customWidth="1"/>
    <col min="19" max="19" width="18.75" style="60" bestFit="1" customWidth="1"/>
    <col min="20" max="20" width="23.25" style="60" bestFit="1" customWidth="1"/>
    <col min="21" max="21" width="17.125" style="60" bestFit="1" customWidth="1"/>
    <col min="22" max="22" width="21.625" style="60" bestFit="1" customWidth="1"/>
    <col min="23" max="24" width="8.625" style="60"/>
  </cols>
  <sheetData>
    <row r="1" spans="1:22">
      <c r="A1" s="6" t="s">
        <v>833</v>
      </c>
      <c r="J1" s="6" t="s">
        <v>807</v>
      </c>
    </row>
    <row r="2" spans="1:22">
      <c r="A2" s="2" t="s">
        <v>0</v>
      </c>
      <c r="B2" s="2" t="s">
        <v>1</v>
      </c>
      <c r="C2" s="2" t="s">
        <v>2</v>
      </c>
      <c r="D2" s="2" t="s">
        <v>8</v>
      </c>
      <c r="E2" s="5" t="s">
        <v>151</v>
      </c>
      <c r="F2" s="5" t="s">
        <v>63</v>
      </c>
      <c r="G2" s="5" t="s">
        <v>145</v>
      </c>
      <c r="J2" s="128" t="s">
        <v>56</v>
      </c>
      <c r="K2" s="128" t="s">
        <v>653</v>
      </c>
      <c r="L2" s="128" t="s">
        <v>654</v>
      </c>
      <c r="M2" s="128" t="s">
        <v>655</v>
      </c>
      <c r="N2" s="128" t="s">
        <v>656</v>
      </c>
      <c r="O2" s="128" t="s">
        <v>57</v>
      </c>
      <c r="P2" s="128" t="s">
        <v>50</v>
      </c>
      <c r="Q2" s="128" t="s">
        <v>657</v>
      </c>
      <c r="R2" s="128" t="s">
        <v>658</v>
      </c>
      <c r="S2" s="128" t="s">
        <v>659</v>
      </c>
      <c r="T2" s="128" t="s">
        <v>660</v>
      </c>
      <c r="U2" s="128" t="s">
        <v>59</v>
      </c>
      <c r="V2" s="128" t="s">
        <v>661</v>
      </c>
    </row>
    <row r="3" spans="1:22">
      <c r="A3" s="63" t="s">
        <v>56</v>
      </c>
      <c r="B3" s="66" t="s">
        <v>3</v>
      </c>
      <c r="C3" s="66"/>
      <c r="D3" s="66" t="s">
        <v>9</v>
      </c>
      <c r="E3" s="12" t="s">
        <v>357</v>
      </c>
      <c r="F3" s="12" t="s">
        <v>144</v>
      </c>
      <c r="G3" s="15" t="s">
        <v>356</v>
      </c>
      <c r="J3" s="129">
        <v>1</v>
      </c>
      <c r="K3" s="130" t="s">
        <v>667</v>
      </c>
      <c r="L3" s="130" t="s">
        <v>755</v>
      </c>
      <c r="M3" s="130" t="s">
        <v>755</v>
      </c>
      <c r="N3" s="129"/>
      <c r="O3" s="131"/>
      <c r="P3" s="131"/>
      <c r="Q3" s="131"/>
      <c r="R3" s="130" t="s">
        <v>666</v>
      </c>
      <c r="S3" s="130" t="s">
        <v>667</v>
      </c>
      <c r="T3" s="131"/>
      <c r="U3" s="130" t="s">
        <v>755</v>
      </c>
      <c r="V3" s="131"/>
    </row>
    <row r="4" spans="1:22" ht="56.25">
      <c r="A4" s="12" t="s">
        <v>653</v>
      </c>
      <c r="B4" s="12" t="s">
        <v>4</v>
      </c>
      <c r="C4" s="12">
        <v>255</v>
      </c>
      <c r="D4" s="12" t="s">
        <v>10</v>
      </c>
      <c r="E4" s="32" t="s">
        <v>150</v>
      </c>
      <c r="F4" s="12" t="s">
        <v>144</v>
      </c>
      <c r="G4" s="15" t="s">
        <v>662</v>
      </c>
      <c r="I4"/>
      <c r="J4" s="129">
        <f>J3+1</f>
        <v>2</v>
      </c>
      <c r="K4" s="130" t="s">
        <v>669</v>
      </c>
      <c r="L4" s="130" t="s">
        <v>755</v>
      </c>
      <c r="M4" s="130" t="s">
        <v>755</v>
      </c>
      <c r="N4" s="129"/>
      <c r="O4" s="131"/>
      <c r="P4" s="131"/>
      <c r="Q4" s="131"/>
      <c r="R4" s="130" t="s">
        <v>668</v>
      </c>
      <c r="S4" s="130" t="s">
        <v>669</v>
      </c>
      <c r="T4" s="131"/>
      <c r="U4" s="130" t="s">
        <v>755</v>
      </c>
      <c r="V4" s="131"/>
    </row>
    <row r="5" spans="1:22">
      <c r="A5" s="61" t="s">
        <v>654</v>
      </c>
      <c r="B5" s="61" t="s">
        <v>4</v>
      </c>
      <c r="C5" s="61">
        <v>20</v>
      </c>
      <c r="D5" s="61" t="s">
        <v>10</v>
      </c>
      <c r="E5" s="85" t="s">
        <v>150</v>
      </c>
      <c r="F5" s="61" t="s">
        <v>144</v>
      </c>
      <c r="G5" s="62" t="s">
        <v>68</v>
      </c>
      <c r="I5"/>
      <c r="J5" s="129">
        <f t="shared" ref="J5:J68" si="0">J4+1</f>
        <v>3</v>
      </c>
      <c r="K5" s="130" t="s">
        <v>1203</v>
      </c>
      <c r="L5" s="130" t="s">
        <v>755</v>
      </c>
      <c r="M5" s="130" t="s">
        <v>755</v>
      </c>
      <c r="N5" s="129"/>
      <c r="O5" s="131"/>
      <c r="P5" s="131"/>
      <c r="Q5" s="131"/>
      <c r="R5" s="130" t="s">
        <v>1202</v>
      </c>
      <c r="S5" s="130" t="s">
        <v>1203</v>
      </c>
      <c r="T5" s="131"/>
      <c r="U5" s="130" t="s">
        <v>755</v>
      </c>
      <c r="V5" s="131"/>
    </row>
    <row r="6" spans="1:22">
      <c r="A6" s="61" t="s">
        <v>655</v>
      </c>
      <c r="B6" s="61" t="s">
        <v>4</v>
      </c>
      <c r="C6" s="61">
        <v>20</v>
      </c>
      <c r="D6" s="61" t="s">
        <v>10</v>
      </c>
      <c r="E6" s="85" t="s">
        <v>150</v>
      </c>
      <c r="F6" s="61" t="s">
        <v>144</v>
      </c>
      <c r="G6" s="62" t="s">
        <v>68</v>
      </c>
      <c r="I6"/>
      <c r="J6" s="129">
        <f t="shared" si="0"/>
        <v>4</v>
      </c>
      <c r="K6" s="130" t="s">
        <v>1205</v>
      </c>
      <c r="L6" s="130" t="s">
        <v>755</v>
      </c>
      <c r="M6" s="130" t="s">
        <v>755</v>
      </c>
      <c r="N6" s="129"/>
      <c r="O6" s="131"/>
      <c r="P6" s="131"/>
      <c r="Q6" s="131"/>
      <c r="R6" s="130" t="s">
        <v>1204</v>
      </c>
      <c r="S6" s="130" t="s">
        <v>1205</v>
      </c>
      <c r="T6" s="131"/>
      <c r="U6" s="130" t="s">
        <v>755</v>
      </c>
      <c r="V6" s="131"/>
    </row>
    <row r="7" spans="1:22" s="60" customFormat="1" ht="37.5">
      <c r="A7" s="12" t="s">
        <v>1126</v>
      </c>
      <c r="B7" s="12" t="s">
        <v>3</v>
      </c>
      <c r="C7" s="12"/>
      <c r="D7" s="12" t="s">
        <v>10</v>
      </c>
      <c r="E7" s="32" t="s">
        <v>150</v>
      </c>
      <c r="F7" s="12" t="s">
        <v>144</v>
      </c>
      <c r="G7" s="15" t="s">
        <v>663</v>
      </c>
      <c r="H7"/>
      <c r="I7"/>
      <c r="J7" s="129">
        <f t="shared" si="0"/>
        <v>5</v>
      </c>
      <c r="K7" s="130" t="s">
        <v>671</v>
      </c>
      <c r="L7" s="130" t="s">
        <v>755</v>
      </c>
      <c r="M7" s="130" t="s">
        <v>755</v>
      </c>
      <c r="N7" s="129"/>
      <c r="O7" s="131"/>
      <c r="P7" s="131"/>
      <c r="Q7" s="131"/>
      <c r="R7" s="130" t="s">
        <v>670</v>
      </c>
      <c r="S7" s="130" t="s">
        <v>671</v>
      </c>
      <c r="T7" s="131"/>
      <c r="U7" s="130" t="s">
        <v>755</v>
      </c>
      <c r="V7" s="131"/>
    </row>
    <row r="8" spans="1:22" s="60" customFormat="1">
      <c r="A8" s="12" t="s">
        <v>57</v>
      </c>
      <c r="B8" s="12" t="s">
        <v>3</v>
      </c>
      <c r="C8" s="12"/>
      <c r="D8" s="12" t="s">
        <v>10</v>
      </c>
      <c r="E8" s="32" t="s">
        <v>150</v>
      </c>
      <c r="F8" s="12" t="s">
        <v>144</v>
      </c>
      <c r="G8" s="15" t="s">
        <v>664</v>
      </c>
      <c r="H8"/>
      <c r="I8"/>
      <c r="J8" s="129">
        <f t="shared" si="0"/>
        <v>6</v>
      </c>
      <c r="K8" s="130" t="s">
        <v>673</v>
      </c>
      <c r="L8" s="130" t="s">
        <v>755</v>
      </c>
      <c r="M8" s="130" t="s">
        <v>755</v>
      </c>
      <c r="N8" s="129"/>
      <c r="O8" s="131"/>
      <c r="P8" s="131"/>
      <c r="Q8" s="131"/>
      <c r="R8" s="130" t="s">
        <v>672</v>
      </c>
      <c r="S8" s="130" t="s">
        <v>673</v>
      </c>
      <c r="T8" s="131"/>
      <c r="U8" s="130" t="s">
        <v>755</v>
      </c>
      <c r="V8" s="131"/>
    </row>
    <row r="9" spans="1:22" s="60" customFormat="1">
      <c r="A9" s="61" t="s">
        <v>50</v>
      </c>
      <c r="B9" s="61" t="s">
        <v>3</v>
      </c>
      <c r="C9" s="61"/>
      <c r="D9" s="61" t="s">
        <v>10</v>
      </c>
      <c r="E9" s="85"/>
      <c r="F9" s="61"/>
      <c r="G9" s="62" t="s">
        <v>68</v>
      </c>
      <c r="H9"/>
      <c r="I9"/>
      <c r="J9" s="129">
        <f t="shared" si="0"/>
        <v>7</v>
      </c>
      <c r="K9" s="130" t="s">
        <v>1235</v>
      </c>
      <c r="L9" s="130" t="s">
        <v>755</v>
      </c>
      <c r="M9" s="130" t="s">
        <v>755</v>
      </c>
      <c r="N9" s="129"/>
      <c r="O9" s="131"/>
      <c r="P9" s="131"/>
      <c r="Q9" s="131"/>
      <c r="R9" s="130" t="s">
        <v>1234</v>
      </c>
      <c r="S9" s="130" t="s">
        <v>1235</v>
      </c>
      <c r="T9" s="131"/>
      <c r="U9" s="130" t="s">
        <v>755</v>
      </c>
      <c r="V9" s="131"/>
    </row>
    <row r="10" spans="1:22" s="60" customFormat="1">
      <c r="A10" s="61" t="s">
        <v>657</v>
      </c>
      <c r="B10" s="61" t="s">
        <v>3</v>
      </c>
      <c r="C10" s="61"/>
      <c r="D10" s="61" t="s">
        <v>10</v>
      </c>
      <c r="E10" s="85"/>
      <c r="F10" s="61"/>
      <c r="G10" s="62" t="s">
        <v>68</v>
      </c>
      <c r="H10"/>
      <c r="I10"/>
      <c r="J10" s="129">
        <f t="shared" si="0"/>
        <v>8</v>
      </c>
      <c r="K10" s="130" t="s">
        <v>1241</v>
      </c>
      <c r="L10" s="130" t="s">
        <v>755</v>
      </c>
      <c r="M10" s="130" t="s">
        <v>755</v>
      </c>
      <c r="N10" s="129"/>
      <c r="O10" s="131"/>
      <c r="P10" s="131"/>
      <c r="Q10" s="131"/>
      <c r="R10" s="130" t="s">
        <v>1240</v>
      </c>
      <c r="S10" s="130" t="s">
        <v>1241</v>
      </c>
      <c r="T10" s="131"/>
      <c r="U10" s="130" t="s">
        <v>755</v>
      </c>
      <c r="V10" s="131"/>
    </row>
    <row r="11" spans="1:22" s="60" customFormat="1" ht="56.25">
      <c r="A11" s="12" t="s">
        <v>658</v>
      </c>
      <c r="B11" s="12" t="s">
        <v>4</v>
      </c>
      <c r="C11" s="12">
        <v>50</v>
      </c>
      <c r="D11" s="12" t="s">
        <v>10</v>
      </c>
      <c r="E11" s="32"/>
      <c r="F11" s="12"/>
      <c r="G11" s="15" t="s">
        <v>665</v>
      </c>
      <c r="H11"/>
      <c r="I11"/>
      <c r="J11" s="129">
        <f t="shared" si="0"/>
        <v>9</v>
      </c>
      <c r="K11" s="130" t="s">
        <v>1249</v>
      </c>
      <c r="L11" s="130" t="s">
        <v>755</v>
      </c>
      <c r="M11" s="130" t="s">
        <v>755</v>
      </c>
      <c r="N11" s="129"/>
      <c r="O11" s="131"/>
      <c r="P11" s="131"/>
      <c r="Q11" s="131"/>
      <c r="R11" s="130" t="s">
        <v>1248</v>
      </c>
      <c r="S11" s="130" t="s">
        <v>1249</v>
      </c>
      <c r="T11" s="131"/>
      <c r="U11" s="130" t="s">
        <v>755</v>
      </c>
      <c r="V11" s="131"/>
    </row>
    <row r="12" spans="1:22" s="60" customFormat="1" ht="56.25">
      <c r="A12" s="12" t="s">
        <v>1127</v>
      </c>
      <c r="B12" s="12" t="s">
        <v>4</v>
      </c>
      <c r="C12" s="12">
        <v>50</v>
      </c>
      <c r="D12" s="12" t="s">
        <v>10</v>
      </c>
      <c r="E12" s="32"/>
      <c r="F12" s="12"/>
      <c r="G12" s="15" t="s">
        <v>662</v>
      </c>
      <c r="H12"/>
      <c r="I12"/>
      <c r="J12" s="129">
        <f t="shared" si="0"/>
        <v>10</v>
      </c>
      <c r="K12" s="130" t="s">
        <v>675</v>
      </c>
      <c r="L12" s="130" t="s">
        <v>755</v>
      </c>
      <c r="M12" s="130" t="s">
        <v>755</v>
      </c>
      <c r="N12" s="129"/>
      <c r="O12" s="131"/>
      <c r="P12" s="131"/>
      <c r="Q12" s="131"/>
      <c r="R12" s="130" t="s">
        <v>674</v>
      </c>
      <c r="S12" s="130" t="s">
        <v>675</v>
      </c>
      <c r="T12" s="131"/>
      <c r="U12" s="130" t="s">
        <v>755</v>
      </c>
      <c r="V12" s="131"/>
    </row>
    <row r="13" spans="1:22" s="60" customFormat="1">
      <c r="A13" s="61" t="s">
        <v>660</v>
      </c>
      <c r="B13" s="61" t="s">
        <v>3</v>
      </c>
      <c r="C13" s="61"/>
      <c r="D13" s="61" t="s">
        <v>10</v>
      </c>
      <c r="E13" s="85"/>
      <c r="F13" s="61"/>
      <c r="G13" s="62" t="s">
        <v>68</v>
      </c>
      <c r="H13"/>
      <c r="I13"/>
      <c r="J13" s="129">
        <f t="shared" si="0"/>
        <v>11</v>
      </c>
      <c r="K13" s="130" t="s">
        <v>1279</v>
      </c>
      <c r="L13" s="130" t="s">
        <v>755</v>
      </c>
      <c r="M13" s="130" t="s">
        <v>755</v>
      </c>
      <c r="N13" s="129"/>
      <c r="O13" s="131"/>
      <c r="P13" s="131"/>
      <c r="Q13" s="131"/>
      <c r="R13" s="130" t="s">
        <v>847</v>
      </c>
      <c r="S13" s="130" t="s">
        <v>1279</v>
      </c>
      <c r="T13" s="131"/>
      <c r="U13" s="130" t="s">
        <v>755</v>
      </c>
      <c r="V13" s="131"/>
    </row>
    <row r="14" spans="1:22" s="60" customFormat="1">
      <c r="A14" s="61" t="s">
        <v>59</v>
      </c>
      <c r="B14" s="61" t="s">
        <v>4</v>
      </c>
      <c r="C14" s="61">
        <v>50</v>
      </c>
      <c r="D14" s="61" t="s">
        <v>10</v>
      </c>
      <c r="E14" s="85"/>
      <c r="F14" s="61"/>
      <c r="G14" s="62" t="s">
        <v>68</v>
      </c>
      <c r="H14"/>
      <c r="I14"/>
      <c r="J14" s="129">
        <f t="shared" si="0"/>
        <v>12</v>
      </c>
      <c r="K14" s="130" t="s">
        <v>1386</v>
      </c>
      <c r="L14" s="130" t="s">
        <v>755</v>
      </c>
      <c r="M14" s="130" t="s">
        <v>755</v>
      </c>
      <c r="N14" s="129"/>
      <c r="O14" s="131"/>
      <c r="P14" s="131"/>
      <c r="Q14" s="131"/>
      <c r="R14" s="130" t="s">
        <v>1385</v>
      </c>
      <c r="S14" s="130" t="s">
        <v>1386</v>
      </c>
      <c r="T14" s="131"/>
      <c r="U14" s="130" t="s">
        <v>755</v>
      </c>
      <c r="V14" s="131"/>
    </row>
    <row r="15" spans="1:22" s="60" customFormat="1">
      <c r="A15" s="61" t="s">
        <v>661</v>
      </c>
      <c r="B15" s="61" t="s">
        <v>3</v>
      </c>
      <c r="C15" s="61"/>
      <c r="D15" s="61" t="s">
        <v>10</v>
      </c>
      <c r="E15" s="85"/>
      <c r="F15" s="61"/>
      <c r="G15" s="62" t="s">
        <v>68</v>
      </c>
      <c r="H15"/>
      <c r="I15"/>
      <c r="J15" s="129">
        <f t="shared" si="0"/>
        <v>13</v>
      </c>
      <c r="K15" s="130" t="s">
        <v>1302</v>
      </c>
      <c r="L15" s="130" t="s">
        <v>755</v>
      </c>
      <c r="M15" s="130" t="s">
        <v>755</v>
      </c>
      <c r="N15" s="129"/>
      <c r="O15" s="131"/>
      <c r="P15" s="131"/>
      <c r="Q15" s="131"/>
      <c r="R15" s="130" t="s">
        <v>1301</v>
      </c>
      <c r="S15" s="130" t="s">
        <v>1302</v>
      </c>
      <c r="T15" s="131"/>
      <c r="U15" s="130" t="s">
        <v>755</v>
      </c>
      <c r="V15" s="131"/>
    </row>
    <row r="16" spans="1:22">
      <c r="I16"/>
      <c r="J16" s="129">
        <f t="shared" si="0"/>
        <v>14</v>
      </c>
      <c r="K16" s="130" t="s">
        <v>1304</v>
      </c>
      <c r="L16" s="130" t="s">
        <v>755</v>
      </c>
      <c r="M16" s="130" t="s">
        <v>755</v>
      </c>
      <c r="N16" s="129"/>
      <c r="O16" s="131"/>
      <c r="P16" s="131"/>
      <c r="Q16" s="131"/>
      <c r="R16" s="130" t="s">
        <v>1303</v>
      </c>
      <c r="S16" s="130" t="s">
        <v>1304</v>
      </c>
      <c r="T16" s="131"/>
      <c r="U16" s="130" t="s">
        <v>755</v>
      </c>
      <c r="V16" s="131"/>
    </row>
    <row r="17" spans="1:22">
      <c r="A17" t="s">
        <v>1186</v>
      </c>
      <c r="I17"/>
      <c r="J17" s="129">
        <f t="shared" si="0"/>
        <v>15</v>
      </c>
      <c r="K17" s="130" t="s">
        <v>1308</v>
      </c>
      <c r="L17" s="130" t="s">
        <v>755</v>
      </c>
      <c r="M17" s="130" t="s">
        <v>755</v>
      </c>
      <c r="N17" s="129"/>
      <c r="O17" s="131"/>
      <c r="P17" s="131"/>
      <c r="Q17" s="131"/>
      <c r="R17" s="130" t="s">
        <v>1307</v>
      </c>
      <c r="S17" s="130" t="s">
        <v>1308</v>
      </c>
      <c r="T17" s="131"/>
      <c r="U17" s="130" t="s">
        <v>755</v>
      </c>
      <c r="V17" s="131"/>
    </row>
    <row r="18" spans="1:22">
      <c r="A18" t="s">
        <v>1168</v>
      </c>
      <c r="I18"/>
      <c r="J18" s="129">
        <f t="shared" si="0"/>
        <v>16</v>
      </c>
      <c r="K18" s="130" t="s">
        <v>1310</v>
      </c>
      <c r="L18" s="130"/>
      <c r="M18" s="130"/>
      <c r="N18" s="129"/>
      <c r="O18" s="131"/>
      <c r="P18" s="131"/>
      <c r="Q18" s="131"/>
      <c r="R18" s="130" t="s">
        <v>1309</v>
      </c>
      <c r="S18" s="130" t="s">
        <v>1310</v>
      </c>
      <c r="T18" s="131"/>
      <c r="U18" s="130"/>
      <c r="V18" s="131"/>
    </row>
    <row r="19" spans="1:22">
      <c r="G19" s="84"/>
      <c r="I19"/>
      <c r="J19" s="129">
        <f t="shared" si="0"/>
        <v>17</v>
      </c>
      <c r="K19" s="130" t="s">
        <v>677</v>
      </c>
      <c r="L19" s="130"/>
      <c r="M19" s="130"/>
      <c r="N19" s="129"/>
      <c r="O19" s="131"/>
      <c r="P19" s="131"/>
      <c r="Q19" s="131"/>
      <c r="R19" s="130" t="s">
        <v>676</v>
      </c>
      <c r="S19" s="130" t="s">
        <v>677</v>
      </c>
      <c r="T19" s="131"/>
      <c r="U19" s="130"/>
      <c r="V19" s="131"/>
    </row>
    <row r="20" spans="1:22">
      <c r="J20" s="129">
        <f t="shared" si="0"/>
        <v>18</v>
      </c>
      <c r="K20" s="130" t="s">
        <v>1322</v>
      </c>
      <c r="L20" s="130"/>
      <c r="M20" s="130"/>
      <c r="N20" s="129"/>
      <c r="O20" s="131"/>
      <c r="P20" s="131"/>
      <c r="Q20" s="131"/>
      <c r="R20" s="130" t="s">
        <v>1321</v>
      </c>
      <c r="S20" s="130" t="s">
        <v>1322</v>
      </c>
      <c r="T20" s="131"/>
      <c r="U20" s="130"/>
      <c r="V20" s="131"/>
    </row>
    <row r="21" spans="1:22" s="60" customFormat="1">
      <c r="A21"/>
      <c r="B21"/>
      <c r="C21"/>
      <c r="D21"/>
      <c r="E21"/>
      <c r="F21"/>
      <c r="G21" s="3"/>
      <c r="H21"/>
      <c r="J21" s="129">
        <f t="shared" si="0"/>
        <v>19</v>
      </c>
      <c r="K21" s="130" t="s">
        <v>679</v>
      </c>
      <c r="L21" s="130"/>
      <c r="M21" s="130"/>
      <c r="N21" s="129"/>
      <c r="O21" s="131"/>
      <c r="P21" s="131"/>
      <c r="Q21" s="131"/>
      <c r="R21" s="130" t="s">
        <v>678</v>
      </c>
      <c r="S21" s="130" t="s">
        <v>679</v>
      </c>
      <c r="T21" s="131"/>
      <c r="U21" s="130"/>
      <c r="V21" s="131"/>
    </row>
    <row r="22" spans="1:22" s="60" customFormat="1">
      <c r="A22"/>
      <c r="B22"/>
      <c r="C22"/>
      <c r="D22"/>
      <c r="E22"/>
      <c r="F22"/>
      <c r="G22" s="3"/>
      <c r="H22"/>
      <c r="J22" s="129">
        <f t="shared" si="0"/>
        <v>20</v>
      </c>
      <c r="K22" s="130" t="s">
        <v>681</v>
      </c>
      <c r="L22" s="130"/>
      <c r="M22" s="130"/>
      <c r="N22" s="129"/>
      <c r="O22" s="131"/>
      <c r="P22" s="131"/>
      <c r="Q22" s="131"/>
      <c r="R22" s="130" t="s">
        <v>680</v>
      </c>
      <c r="S22" s="130" t="s">
        <v>681</v>
      </c>
      <c r="T22" s="131"/>
      <c r="U22" s="130"/>
      <c r="V22" s="131"/>
    </row>
    <row r="23" spans="1:22" s="60" customFormat="1">
      <c r="A23" s="249" t="s">
        <v>1792</v>
      </c>
      <c r="B23"/>
      <c r="C23"/>
      <c r="D23"/>
      <c r="E23"/>
      <c r="F23"/>
      <c r="G23"/>
      <c r="H23"/>
      <c r="J23" s="129">
        <f t="shared" si="0"/>
        <v>21</v>
      </c>
      <c r="K23" s="130" t="s">
        <v>1332</v>
      </c>
      <c r="L23" s="130"/>
      <c r="M23" s="130"/>
      <c r="N23" s="129"/>
      <c r="O23" s="131"/>
      <c r="P23" s="131"/>
      <c r="Q23" s="131"/>
      <c r="R23" s="130" t="s">
        <v>1331</v>
      </c>
      <c r="S23" s="130" t="s">
        <v>1332</v>
      </c>
      <c r="T23" s="131"/>
      <c r="U23" s="130"/>
      <c r="V23" s="131"/>
    </row>
    <row r="24" spans="1:22">
      <c r="G24"/>
      <c r="J24" s="129">
        <f t="shared" si="0"/>
        <v>22</v>
      </c>
      <c r="K24" s="130" t="s">
        <v>1334</v>
      </c>
      <c r="L24" s="130"/>
      <c r="M24" s="130"/>
      <c r="N24" s="129"/>
      <c r="O24" s="131"/>
      <c r="P24" s="131"/>
      <c r="Q24" s="131"/>
      <c r="R24" s="130" t="s">
        <v>1333</v>
      </c>
      <c r="S24" s="130" t="s">
        <v>1334</v>
      </c>
      <c r="T24" s="131"/>
      <c r="U24" s="130"/>
      <c r="V24" s="131"/>
    </row>
    <row r="25" spans="1:22" ht="19.5" thickBot="1">
      <c r="G25"/>
      <c r="I25"/>
      <c r="J25" s="129">
        <f t="shared" si="0"/>
        <v>23</v>
      </c>
      <c r="K25" s="130" t="s">
        <v>1338</v>
      </c>
      <c r="L25" s="130"/>
      <c r="M25" s="130"/>
      <c r="N25" s="129"/>
      <c r="O25" s="131"/>
      <c r="P25" s="131"/>
      <c r="Q25" s="131"/>
      <c r="R25" s="130" t="s">
        <v>1337</v>
      </c>
      <c r="S25" s="130" t="s">
        <v>1338</v>
      </c>
      <c r="T25" s="131"/>
      <c r="U25" s="130"/>
      <c r="V25" s="131"/>
    </row>
    <row r="26" spans="1:22" ht="19.5" thickBot="1">
      <c r="A26" s="237" t="s">
        <v>1379</v>
      </c>
      <c r="B26" s="238" t="s">
        <v>1380</v>
      </c>
      <c r="C26" s="239" t="s">
        <v>1381</v>
      </c>
      <c r="D26" s="240" t="s">
        <v>1382</v>
      </c>
      <c r="G26"/>
      <c r="I26"/>
      <c r="J26" s="129">
        <f t="shared" si="0"/>
        <v>24</v>
      </c>
      <c r="K26" s="130" t="s">
        <v>1343</v>
      </c>
      <c r="L26" s="130"/>
      <c r="M26" s="130"/>
      <c r="N26" s="129"/>
      <c r="O26" s="131"/>
      <c r="P26" s="131"/>
      <c r="Q26" s="131"/>
      <c r="R26" s="130" t="s">
        <v>1342</v>
      </c>
      <c r="S26" s="130" t="s">
        <v>1343</v>
      </c>
      <c r="T26" s="131"/>
      <c r="U26" s="130"/>
      <c r="V26" s="131"/>
    </row>
    <row r="27" spans="1:22" ht="21.75" thickBot="1">
      <c r="A27" s="241" t="s">
        <v>666</v>
      </c>
      <c r="B27" s="242" t="s">
        <v>1383</v>
      </c>
      <c r="C27" s="243" t="s">
        <v>667</v>
      </c>
      <c r="D27" s="244" t="s">
        <v>1384</v>
      </c>
      <c r="E27" s="236"/>
      <c r="G27"/>
      <c r="I27"/>
      <c r="J27" s="129">
        <f t="shared" si="0"/>
        <v>25</v>
      </c>
      <c r="K27" s="130" t="s">
        <v>683</v>
      </c>
      <c r="L27" s="130"/>
      <c r="M27" s="130"/>
      <c r="N27" s="129"/>
      <c r="O27" s="131"/>
      <c r="P27" s="131"/>
      <c r="Q27" s="131"/>
      <c r="R27" s="130" t="s">
        <v>682</v>
      </c>
      <c r="S27" s="130" t="s">
        <v>683</v>
      </c>
      <c r="T27" s="131"/>
      <c r="U27" s="130"/>
      <c r="V27" s="131"/>
    </row>
    <row r="28" spans="1:22" ht="21.75" thickBot="1">
      <c r="A28" s="241" t="s">
        <v>668</v>
      </c>
      <c r="B28" s="242" t="s">
        <v>1383</v>
      </c>
      <c r="C28" s="243" t="s">
        <v>669</v>
      </c>
      <c r="D28" s="244" t="s">
        <v>1384</v>
      </c>
      <c r="E28" s="236"/>
      <c r="G28"/>
      <c r="I28"/>
      <c r="J28" s="129">
        <f t="shared" si="0"/>
        <v>26</v>
      </c>
      <c r="K28" s="130" t="s">
        <v>685</v>
      </c>
      <c r="L28" s="130"/>
      <c r="M28" s="130"/>
      <c r="N28" s="129"/>
      <c r="O28" s="131"/>
      <c r="P28" s="131"/>
      <c r="Q28" s="131"/>
      <c r="R28" s="130" t="s">
        <v>684</v>
      </c>
      <c r="S28" s="130" t="s">
        <v>685</v>
      </c>
      <c r="T28" s="131"/>
      <c r="U28" s="130"/>
      <c r="V28" s="131"/>
    </row>
    <row r="29" spans="1:22" ht="21.75" thickBot="1">
      <c r="A29" s="241" t="s">
        <v>1202</v>
      </c>
      <c r="B29" s="242" t="s">
        <v>1383</v>
      </c>
      <c r="C29" s="243" t="s">
        <v>1203</v>
      </c>
      <c r="D29" s="244"/>
      <c r="E29" s="236"/>
      <c r="G29"/>
      <c r="I29"/>
      <c r="J29" s="129">
        <f t="shared" si="0"/>
        <v>27</v>
      </c>
      <c r="K29" s="130" t="s">
        <v>1377</v>
      </c>
      <c r="L29" s="130"/>
      <c r="M29" s="130"/>
      <c r="N29" s="129"/>
      <c r="O29" s="131"/>
      <c r="P29" s="131"/>
      <c r="Q29" s="131"/>
      <c r="R29" s="130" t="s">
        <v>1376</v>
      </c>
      <c r="S29" s="130" t="s">
        <v>1377</v>
      </c>
      <c r="T29" s="131"/>
      <c r="U29" s="130"/>
      <c r="V29" s="131"/>
    </row>
    <row r="30" spans="1:22" ht="21.75" thickBot="1">
      <c r="A30" s="241" t="s">
        <v>1204</v>
      </c>
      <c r="B30" s="242" t="s">
        <v>1383</v>
      </c>
      <c r="C30" s="243" t="s">
        <v>1205</v>
      </c>
      <c r="D30" s="244"/>
      <c r="E30" s="236"/>
      <c r="G30"/>
      <c r="I30"/>
      <c r="J30" s="129">
        <f t="shared" si="0"/>
        <v>28</v>
      </c>
      <c r="K30" s="130" t="s">
        <v>1388</v>
      </c>
      <c r="L30" s="130"/>
      <c r="M30" s="130"/>
      <c r="N30" s="129"/>
      <c r="O30" s="131"/>
      <c r="P30" s="131"/>
      <c r="Q30" s="131"/>
      <c r="R30" s="130" t="s">
        <v>1387</v>
      </c>
      <c r="S30" s="130" t="s">
        <v>1388</v>
      </c>
      <c r="T30" s="131"/>
      <c r="U30" s="130"/>
      <c r="V30" s="131"/>
    </row>
    <row r="31" spans="1:22" ht="21.75" thickBot="1">
      <c r="A31" s="241" t="s">
        <v>670</v>
      </c>
      <c r="B31" s="242" t="s">
        <v>1383</v>
      </c>
      <c r="C31" s="243" t="s">
        <v>671</v>
      </c>
      <c r="D31" s="244" t="s">
        <v>1384</v>
      </c>
      <c r="E31" s="236"/>
      <c r="G31"/>
      <c r="I31"/>
      <c r="J31" s="129">
        <f t="shared" si="0"/>
        <v>29</v>
      </c>
      <c r="K31" s="130" t="s">
        <v>687</v>
      </c>
      <c r="L31" s="130"/>
      <c r="M31" s="130"/>
      <c r="N31" s="129"/>
      <c r="O31" s="131"/>
      <c r="P31" s="131"/>
      <c r="Q31" s="131"/>
      <c r="R31" s="130" t="s">
        <v>686</v>
      </c>
      <c r="S31" s="130" t="s">
        <v>687</v>
      </c>
      <c r="T31" s="131"/>
      <c r="U31" s="130"/>
      <c r="V31" s="131"/>
    </row>
    <row r="32" spans="1:22" ht="21.75" thickBot="1">
      <c r="A32" s="241" t="s">
        <v>672</v>
      </c>
      <c r="B32" s="242" t="s">
        <v>1383</v>
      </c>
      <c r="C32" s="243" t="s">
        <v>673</v>
      </c>
      <c r="D32" s="244" t="s">
        <v>1384</v>
      </c>
      <c r="E32" s="236"/>
      <c r="G32"/>
      <c r="I32"/>
      <c r="J32" s="129">
        <f t="shared" si="0"/>
        <v>30</v>
      </c>
      <c r="K32" s="130" t="s">
        <v>689</v>
      </c>
      <c r="L32" s="130"/>
      <c r="M32" s="130"/>
      <c r="N32" s="129"/>
      <c r="O32" s="131"/>
      <c r="P32" s="131"/>
      <c r="Q32" s="131"/>
      <c r="R32" s="130" t="s">
        <v>688</v>
      </c>
      <c r="S32" s="130" t="s">
        <v>689</v>
      </c>
      <c r="T32" s="131"/>
      <c r="U32" s="130"/>
      <c r="V32" s="131"/>
    </row>
    <row r="33" spans="1:22" ht="21.75" thickBot="1">
      <c r="A33" s="241" t="s">
        <v>1234</v>
      </c>
      <c r="B33" s="242" t="s">
        <v>1383</v>
      </c>
      <c r="C33" s="243" t="s">
        <v>1235</v>
      </c>
      <c r="D33" s="244"/>
      <c r="E33" s="236"/>
      <c r="G33" s="236"/>
      <c r="I33"/>
      <c r="J33" s="129">
        <f t="shared" si="0"/>
        <v>31</v>
      </c>
      <c r="K33" s="130" t="s">
        <v>1390</v>
      </c>
      <c r="L33" s="130"/>
      <c r="M33" s="130"/>
      <c r="N33" s="129"/>
      <c r="O33" s="131"/>
      <c r="P33" s="131"/>
      <c r="Q33" s="131"/>
      <c r="R33" s="130" t="s">
        <v>1389</v>
      </c>
      <c r="S33" s="130" t="s">
        <v>1390</v>
      </c>
      <c r="T33" s="131"/>
      <c r="U33" s="130"/>
      <c r="V33" s="131"/>
    </row>
    <row r="34" spans="1:22" ht="21.75" thickBot="1">
      <c r="A34" s="241" t="s">
        <v>1240</v>
      </c>
      <c r="B34" s="242" t="s">
        <v>1383</v>
      </c>
      <c r="C34" s="243" t="s">
        <v>1241</v>
      </c>
      <c r="D34" s="244"/>
      <c r="E34" s="236"/>
      <c r="G34" s="236"/>
      <c r="I34"/>
      <c r="J34" s="129">
        <f t="shared" si="0"/>
        <v>32</v>
      </c>
      <c r="K34" s="130" t="s">
        <v>1392</v>
      </c>
      <c r="L34" s="130"/>
      <c r="M34" s="130"/>
      <c r="N34" s="129"/>
      <c r="O34" s="131"/>
      <c r="P34" s="131"/>
      <c r="Q34" s="131"/>
      <c r="R34" s="130" t="s">
        <v>1391</v>
      </c>
      <c r="S34" s="130" t="s">
        <v>1392</v>
      </c>
      <c r="T34" s="131"/>
      <c r="U34" s="130"/>
      <c r="V34" s="131"/>
    </row>
    <row r="35" spans="1:22" ht="21.75" thickBot="1">
      <c r="A35" s="241" t="s">
        <v>1248</v>
      </c>
      <c r="B35" s="242" t="s">
        <v>1383</v>
      </c>
      <c r="C35" s="243" t="s">
        <v>1249</v>
      </c>
      <c r="D35" s="244"/>
      <c r="E35" s="236"/>
      <c r="G35" s="236"/>
      <c r="H35" s="236"/>
      <c r="J35" s="129">
        <f t="shared" si="0"/>
        <v>33</v>
      </c>
      <c r="K35" s="130" t="s">
        <v>1394</v>
      </c>
      <c r="L35" s="130"/>
      <c r="M35" s="130"/>
      <c r="N35" s="129"/>
      <c r="O35" s="131"/>
      <c r="P35" s="131"/>
      <c r="Q35" s="131"/>
      <c r="R35" s="130" t="s">
        <v>1393</v>
      </c>
      <c r="S35" s="130" t="s">
        <v>1394</v>
      </c>
      <c r="T35" s="131"/>
      <c r="U35" s="130"/>
      <c r="V35" s="131"/>
    </row>
    <row r="36" spans="1:22" ht="21.75" thickBot="1">
      <c r="A36" s="241" t="s">
        <v>674</v>
      </c>
      <c r="B36" s="242" t="s">
        <v>1383</v>
      </c>
      <c r="C36" s="243" t="s">
        <v>675</v>
      </c>
      <c r="D36" s="244" t="s">
        <v>1384</v>
      </c>
      <c r="E36" s="236"/>
      <c r="G36" s="236"/>
      <c r="H36" s="236"/>
      <c r="J36" s="129">
        <f t="shared" si="0"/>
        <v>34</v>
      </c>
      <c r="K36" s="130" t="s">
        <v>691</v>
      </c>
      <c r="L36" s="130"/>
      <c r="M36" s="130"/>
      <c r="N36" s="129"/>
      <c r="O36" s="131"/>
      <c r="P36" s="131"/>
      <c r="Q36" s="131"/>
      <c r="R36" s="130" t="s">
        <v>690</v>
      </c>
      <c r="S36" s="130" t="s">
        <v>691</v>
      </c>
      <c r="T36" s="131"/>
      <c r="U36" s="130"/>
      <c r="V36" s="131"/>
    </row>
    <row r="37" spans="1:22" ht="21.75" thickBot="1">
      <c r="A37" s="241" t="s">
        <v>847</v>
      </c>
      <c r="B37" s="242" t="s">
        <v>1383</v>
      </c>
      <c r="C37" s="243" t="s">
        <v>1279</v>
      </c>
      <c r="D37" s="244"/>
      <c r="E37" s="236"/>
      <c r="G37" s="236"/>
      <c r="H37" s="236"/>
      <c r="J37" s="129">
        <f t="shared" si="0"/>
        <v>35</v>
      </c>
      <c r="K37" s="130" t="s">
        <v>1396</v>
      </c>
      <c r="L37" s="130"/>
      <c r="M37" s="130"/>
      <c r="N37" s="129"/>
      <c r="O37" s="131"/>
      <c r="P37" s="131"/>
      <c r="Q37" s="131"/>
      <c r="R37" s="130" t="s">
        <v>1395</v>
      </c>
      <c r="S37" s="130" t="s">
        <v>1396</v>
      </c>
      <c r="T37" s="131"/>
      <c r="U37" s="130"/>
      <c r="V37" s="131"/>
    </row>
    <row r="38" spans="1:22" ht="21.75" thickBot="1">
      <c r="A38" s="241" t="s">
        <v>1385</v>
      </c>
      <c r="B38" s="242" t="s">
        <v>1383</v>
      </c>
      <c r="C38" s="243" t="s">
        <v>1386</v>
      </c>
      <c r="D38" s="244"/>
      <c r="E38" s="236"/>
      <c r="G38" s="236"/>
      <c r="H38" s="236"/>
      <c r="J38" s="129">
        <f t="shared" si="0"/>
        <v>36</v>
      </c>
      <c r="K38" s="130" t="s">
        <v>1398</v>
      </c>
      <c r="L38" s="130"/>
      <c r="M38" s="130"/>
      <c r="N38" s="129"/>
      <c r="O38" s="131"/>
      <c r="P38" s="131"/>
      <c r="Q38" s="131"/>
      <c r="R38" s="130" t="s">
        <v>1397</v>
      </c>
      <c r="S38" s="130" t="s">
        <v>1398</v>
      </c>
      <c r="T38" s="131"/>
      <c r="U38" s="130"/>
      <c r="V38" s="131"/>
    </row>
    <row r="39" spans="1:22" ht="21.75" thickBot="1">
      <c r="A39" s="241" t="s">
        <v>1301</v>
      </c>
      <c r="B39" s="242" t="s">
        <v>1383</v>
      </c>
      <c r="C39" s="243" t="s">
        <v>1302</v>
      </c>
      <c r="D39" s="244"/>
      <c r="E39" s="236"/>
      <c r="G39" s="236"/>
      <c r="H39" s="236"/>
      <c r="J39" s="129">
        <f t="shared" si="0"/>
        <v>37</v>
      </c>
      <c r="K39" s="130" t="s">
        <v>1400</v>
      </c>
      <c r="L39" s="130"/>
      <c r="M39" s="130"/>
      <c r="N39" s="129"/>
      <c r="O39" s="131"/>
      <c r="P39" s="131"/>
      <c r="Q39" s="131"/>
      <c r="R39" s="130" t="s">
        <v>1399</v>
      </c>
      <c r="S39" s="130" t="s">
        <v>1400</v>
      </c>
      <c r="T39" s="131"/>
      <c r="U39" s="130"/>
      <c r="V39" s="131"/>
    </row>
    <row r="40" spans="1:22" ht="21.75" thickBot="1">
      <c r="A40" s="241" t="s">
        <v>1303</v>
      </c>
      <c r="B40" s="242" t="s">
        <v>1383</v>
      </c>
      <c r="C40" s="243" t="s">
        <v>1304</v>
      </c>
      <c r="D40" s="244"/>
      <c r="E40" s="236"/>
      <c r="G40" s="236"/>
      <c r="H40" s="236"/>
      <c r="J40" s="129">
        <f t="shared" si="0"/>
        <v>38</v>
      </c>
      <c r="K40" s="130" t="s">
        <v>1402</v>
      </c>
      <c r="L40" s="130"/>
      <c r="M40" s="130"/>
      <c r="N40" s="129"/>
      <c r="O40" s="131"/>
      <c r="P40" s="131"/>
      <c r="Q40" s="131"/>
      <c r="R40" s="130" t="s">
        <v>1401</v>
      </c>
      <c r="S40" s="130" t="s">
        <v>1402</v>
      </c>
      <c r="T40" s="131"/>
      <c r="U40" s="130"/>
      <c r="V40" s="131"/>
    </row>
    <row r="41" spans="1:22" ht="21.75" thickBot="1">
      <c r="A41" s="241" t="s">
        <v>1307</v>
      </c>
      <c r="B41" s="242" t="s">
        <v>1383</v>
      </c>
      <c r="C41" s="243" t="s">
        <v>1308</v>
      </c>
      <c r="D41" s="244"/>
      <c r="H41" s="236"/>
      <c r="J41" s="129">
        <f t="shared" si="0"/>
        <v>39</v>
      </c>
      <c r="K41" s="130" t="s">
        <v>1404</v>
      </c>
      <c r="L41" s="130"/>
      <c r="M41" s="130"/>
      <c r="N41" s="129"/>
      <c r="O41" s="131"/>
      <c r="P41" s="131"/>
      <c r="Q41" s="131"/>
      <c r="R41" s="130" t="s">
        <v>1403</v>
      </c>
      <c r="S41" s="130" t="s">
        <v>1404</v>
      </c>
      <c r="T41" s="131"/>
      <c r="U41" s="130"/>
      <c r="V41" s="131"/>
    </row>
    <row r="42" spans="1:22" ht="21.75" thickBot="1">
      <c r="A42" s="241" t="s">
        <v>1309</v>
      </c>
      <c r="B42" s="242" t="s">
        <v>1383</v>
      </c>
      <c r="C42" s="243" t="s">
        <v>1310</v>
      </c>
      <c r="D42" s="244"/>
      <c r="H42" s="236"/>
      <c r="J42" s="129">
        <f t="shared" si="0"/>
        <v>40</v>
      </c>
      <c r="K42" s="130" t="s">
        <v>1406</v>
      </c>
      <c r="L42" s="130"/>
      <c r="M42" s="130"/>
      <c r="N42" s="129"/>
      <c r="O42" s="131"/>
      <c r="P42" s="131"/>
      <c r="Q42" s="131"/>
      <c r="R42" s="130" t="s">
        <v>1405</v>
      </c>
      <c r="S42" s="130" t="s">
        <v>1406</v>
      </c>
      <c r="T42" s="131"/>
      <c r="U42" s="130"/>
      <c r="V42" s="131"/>
    </row>
    <row r="43" spans="1:22" ht="21.75" thickBot="1">
      <c r="A43" s="241" t="s">
        <v>676</v>
      </c>
      <c r="B43" s="242" t="s">
        <v>1383</v>
      </c>
      <c r="C43" s="243" t="s">
        <v>677</v>
      </c>
      <c r="D43" s="244" t="s">
        <v>1384</v>
      </c>
      <c r="J43" s="129">
        <f t="shared" si="0"/>
        <v>41</v>
      </c>
      <c r="K43" s="130" t="s">
        <v>1408</v>
      </c>
      <c r="L43" s="130"/>
      <c r="M43" s="130"/>
      <c r="N43" s="129"/>
      <c r="O43" s="131"/>
      <c r="P43" s="131"/>
      <c r="Q43" s="131"/>
      <c r="R43" s="130" t="s">
        <v>1407</v>
      </c>
      <c r="S43" s="130" t="s">
        <v>1408</v>
      </c>
      <c r="T43" s="131"/>
      <c r="U43" s="130"/>
      <c r="V43" s="131"/>
    </row>
    <row r="44" spans="1:22" ht="21.75" thickBot="1">
      <c r="A44" s="241" t="s">
        <v>1321</v>
      </c>
      <c r="B44" s="242" t="s">
        <v>1383</v>
      </c>
      <c r="C44" s="243" t="s">
        <v>1322</v>
      </c>
      <c r="D44" s="244"/>
      <c r="J44" s="129">
        <f t="shared" si="0"/>
        <v>42</v>
      </c>
      <c r="K44" s="130" t="s">
        <v>1410</v>
      </c>
      <c r="L44" s="130"/>
      <c r="M44" s="130"/>
      <c r="N44" s="129"/>
      <c r="O44" s="131"/>
      <c r="P44" s="131"/>
      <c r="Q44" s="131"/>
      <c r="R44" s="130" t="s">
        <v>1409</v>
      </c>
      <c r="S44" s="130" t="s">
        <v>1410</v>
      </c>
      <c r="T44" s="131"/>
      <c r="U44" s="130"/>
      <c r="V44" s="131"/>
    </row>
    <row r="45" spans="1:22" ht="21.75" thickBot="1">
      <c r="A45" s="241" t="s">
        <v>678</v>
      </c>
      <c r="B45" s="242" t="s">
        <v>1383</v>
      </c>
      <c r="C45" s="243" t="s">
        <v>679</v>
      </c>
      <c r="D45" s="244" t="s">
        <v>1384</v>
      </c>
      <c r="J45" s="129">
        <f t="shared" si="0"/>
        <v>43</v>
      </c>
      <c r="K45" s="130" t="s">
        <v>1412</v>
      </c>
      <c r="L45" s="130"/>
      <c r="M45" s="130"/>
      <c r="N45" s="129"/>
      <c r="O45" s="131"/>
      <c r="P45" s="131"/>
      <c r="Q45" s="131"/>
      <c r="R45" s="130" t="s">
        <v>1411</v>
      </c>
      <c r="S45" s="130" t="s">
        <v>1412</v>
      </c>
      <c r="T45" s="131"/>
      <c r="U45" s="130"/>
      <c r="V45" s="131"/>
    </row>
    <row r="46" spans="1:22" ht="21.75" thickBot="1">
      <c r="A46" s="241" t="s">
        <v>680</v>
      </c>
      <c r="B46" s="242" t="s">
        <v>1383</v>
      </c>
      <c r="C46" s="243" t="s">
        <v>681</v>
      </c>
      <c r="D46" s="244" t="s">
        <v>1384</v>
      </c>
      <c r="J46" s="129">
        <f t="shared" si="0"/>
        <v>44</v>
      </c>
      <c r="K46" s="130" t="s">
        <v>1414</v>
      </c>
      <c r="L46" s="130"/>
      <c r="M46" s="130"/>
      <c r="N46" s="129"/>
      <c r="O46" s="131"/>
      <c r="P46" s="131"/>
      <c r="Q46" s="131"/>
      <c r="R46" s="130" t="s">
        <v>1413</v>
      </c>
      <c r="S46" s="130" t="s">
        <v>1414</v>
      </c>
      <c r="T46" s="131"/>
      <c r="U46" s="130"/>
      <c r="V46" s="131"/>
    </row>
    <row r="47" spans="1:22" ht="21.75" thickBot="1">
      <c r="A47" s="241" t="s">
        <v>1331</v>
      </c>
      <c r="B47" s="242" t="s">
        <v>1383</v>
      </c>
      <c r="C47" s="243" t="s">
        <v>1332</v>
      </c>
      <c r="D47" s="244"/>
      <c r="J47" s="129">
        <f t="shared" si="0"/>
        <v>45</v>
      </c>
      <c r="K47" s="130" t="s">
        <v>1416</v>
      </c>
      <c r="L47" s="130"/>
      <c r="M47" s="130"/>
      <c r="N47" s="129"/>
      <c r="O47" s="131"/>
      <c r="P47" s="131"/>
      <c r="Q47" s="131"/>
      <c r="R47" s="130" t="s">
        <v>1415</v>
      </c>
      <c r="S47" s="130" t="s">
        <v>1416</v>
      </c>
      <c r="T47" s="131"/>
      <c r="U47" s="130"/>
      <c r="V47" s="131"/>
    </row>
    <row r="48" spans="1:22" ht="21.75" thickBot="1">
      <c r="A48" s="241" t="s">
        <v>1333</v>
      </c>
      <c r="B48" s="242" t="s">
        <v>1383</v>
      </c>
      <c r="C48" s="243" t="s">
        <v>1334</v>
      </c>
      <c r="D48" s="244"/>
      <c r="J48" s="129">
        <f t="shared" si="0"/>
        <v>46</v>
      </c>
      <c r="K48" s="130" t="s">
        <v>1418</v>
      </c>
      <c r="L48" s="130"/>
      <c r="M48" s="130"/>
      <c r="N48" s="129"/>
      <c r="O48" s="131"/>
      <c r="P48" s="131"/>
      <c r="Q48" s="131"/>
      <c r="R48" s="130" t="s">
        <v>1417</v>
      </c>
      <c r="S48" s="130" t="s">
        <v>1418</v>
      </c>
      <c r="T48" s="131"/>
      <c r="U48" s="130"/>
      <c r="V48" s="131"/>
    </row>
    <row r="49" spans="1:22" ht="21.75" thickBot="1">
      <c r="A49" s="241" t="s">
        <v>1337</v>
      </c>
      <c r="B49" s="242" t="s">
        <v>1383</v>
      </c>
      <c r="C49" s="243" t="s">
        <v>1338</v>
      </c>
      <c r="D49" s="244"/>
      <c r="J49" s="129">
        <f t="shared" si="0"/>
        <v>47</v>
      </c>
      <c r="K49" s="130" t="s">
        <v>1420</v>
      </c>
      <c r="L49" s="130"/>
      <c r="M49" s="130"/>
      <c r="N49" s="129"/>
      <c r="O49" s="131"/>
      <c r="P49" s="131"/>
      <c r="Q49" s="131"/>
      <c r="R49" s="130" t="s">
        <v>1419</v>
      </c>
      <c r="S49" s="130" t="s">
        <v>1420</v>
      </c>
      <c r="T49" s="131"/>
      <c r="U49" s="130"/>
      <c r="V49" s="131"/>
    </row>
    <row r="50" spans="1:22" ht="21.75" thickBot="1">
      <c r="A50" s="241" t="s">
        <v>1342</v>
      </c>
      <c r="B50" s="242" t="s">
        <v>1383</v>
      </c>
      <c r="C50" s="243" t="s">
        <v>1343</v>
      </c>
      <c r="D50" s="244"/>
      <c r="J50" s="129">
        <f t="shared" si="0"/>
        <v>48</v>
      </c>
      <c r="K50" s="130" t="s">
        <v>1422</v>
      </c>
      <c r="L50" s="130"/>
      <c r="M50" s="130"/>
      <c r="N50" s="129"/>
      <c r="O50" s="131"/>
      <c r="P50" s="131"/>
      <c r="Q50" s="131"/>
      <c r="R50" s="130" t="s">
        <v>1421</v>
      </c>
      <c r="S50" s="130" t="s">
        <v>1422</v>
      </c>
      <c r="T50" s="131"/>
      <c r="U50" s="130"/>
      <c r="V50" s="131"/>
    </row>
    <row r="51" spans="1:22" ht="21.75" thickBot="1">
      <c r="A51" s="241" t="s">
        <v>682</v>
      </c>
      <c r="B51" s="242" t="s">
        <v>1383</v>
      </c>
      <c r="C51" s="243" t="s">
        <v>683</v>
      </c>
      <c r="D51" s="244" t="s">
        <v>1384</v>
      </c>
      <c r="J51" s="129">
        <f t="shared" si="0"/>
        <v>49</v>
      </c>
      <c r="K51" s="130" t="s">
        <v>1424</v>
      </c>
      <c r="L51" s="130"/>
      <c r="M51" s="130"/>
      <c r="N51" s="129"/>
      <c r="O51" s="131"/>
      <c r="P51" s="131"/>
      <c r="Q51" s="131"/>
      <c r="R51" s="130" t="s">
        <v>1423</v>
      </c>
      <c r="S51" s="130" t="s">
        <v>1424</v>
      </c>
      <c r="T51" s="131"/>
      <c r="U51" s="130"/>
      <c r="V51" s="131"/>
    </row>
    <row r="52" spans="1:22" ht="21.75" thickBot="1">
      <c r="A52" s="241" t="s">
        <v>684</v>
      </c>
      <c r="B52" s="242" t="s">
        <v>1383</v>
      </c>
      <c r="C52" s="243" t="s">
        <v>685</v>
      </c>
      <c r="D52" s="244" t="s">
        <v>1384</v>
      </c>
      <c r="J52" s="129">
        <f t="shared" si="0"/>
        <v>50</v>
      </c>
      <c r="K52" s="130" t="s">
        <v>1426</v>
      </c>
      <c r="L52" s="130"/>
      <c r="M52" s="130"/>
      <c r="N52" s="129"/>
      <c r="O52" s="131"/>
      <c r="P52" s="131"/>
      <c r="Q52" s="131"/>
      <c r="R52" s="130" t="s">
        <v>1425</v>
      </c>
      <c r="S52" s="130" t="s">
        <v>1426</v>
      </c>
      <c r="T52" s="131"/>
      <c r="U52" s="130"/>
      <c r="V52" s="131"/>
    </row>
    <row r="53" spans="1:22" ht="21.75" thickBot="1">
      <c r="A53" s="241" t="s">
        <v>1376</v>
      </c>
      <c r="B53" s="242" t="s">
        <v>1383</v>
      </c>
      <c r="C53" s="243" t="s">
        <v>1377</v>
      </c>
      <c r="D53" s="244"/>
      <c r="J53" s="129">
        <f t="shared" si="0"/>
        <v>51</v>
      </c>
      <c r="K53" s="130" t="s">
        <v>1428</v>
      </c>
      <c r="L53" s="130"/>
      <c r="M53" s="130"/>
      <c r="N53" s="129"/>
      <c r="O53" s="131"/>
      <c r="P53" s="131"/>
      <c r="Q53" s="131"/>
      <c r="R53" s="130" t="s">
        <v>1427</v>
      </c>
      <c r="S53" s="130" t="s">
        <v>1428</v>
      </c>
      <c r="T53" s="131"/>
      <c r="U53" s="130"/>
      <c r="V53" s="131"/>
    </row>
    <row r="54" spans="1:22" ht="21.75" thickBot="1">
      <c r="A54" s="241" t="s">
        <v>1387</v>
      </c>
      <c r="B54" s="242" t="s">
        <v>1383</v>
      </c>
      <c r="C54" s="243" t="s">
        <v>1388</v>
      </c>
      <c r="D54" s="244"/>
      <c r="J54" s="129">
        <f t="shared" si="0"/>
        <v>52</v>
      </c>
      <c r="K54" s="130" t="s">
        <v>1430</v>
      </c>
      <c r="L54" s="130"/>
      <c r="M54" s="130"/>
      <c r="N54" s="129"/>
      <c r="O54" s="131"/>
      <c r="P54" s="131"/>
      <c r="Q54" s="131"/>
      <c r="R54" s="130" t="s">
        <v>1429</v>
      </c>
      <c r="S54" s="130" t="s">
        <v>1430</v>
      </c>
      <c r="T54" s="131"/>
      <c r="U54" s="130"/>
      <c r="V54" s="131"/>
    </row>
    <row r="55" spans="1:22" ht="21.75" thickBot="1">
      <c r="A55" s="241" t="s">
        <v>686</v>
      </c>
      <c r="B55" s="242" t="s">
        <v>1383</v>
      </c>
      <c r="C55" s="243" t="s">
        <v>687</v>
      </c>
      <c r="D55" s="244" t="s">
        <v>1384</v>
      </c>
      <c r="J55" s="129">
        <f t="shared" si="0"/>
        <v>53</v>
      </c>
      <c r="K55" s="130" t="s">
        <v>1432</v>
      </c>
      <c r="L55" s="130"/>
      <c r="M55" s="130"/>
      <c r="N55" s="129"/>
      <c r="O55" s="131"/>
      <c r="P55" s="131"/>
      <c r="Q55" s="131"/>
      <c r="R55" s="130" t="s">
        <v>1431</v>
      </c>
      <c r="S55" s="130" t="s">
        <v>1432</v>
      </c>
      <c r="T55" s="131"/>
      <c r="U55" s="130"/>
      <c r="V55" s="131"/>
    </row>
    <row r="56" spans="1:22" ht="21.75" thickBot="1">
      <c r="A56" s="241" t="s">
        <v>688</v>
      </c>
      <c r="B56" s="242" t="s">
        <v>1383</v>
      </c>
      <c r="C56" s="243" t="s">
        <v>689</v>
      </c>
      <c r="D56" s="244" t="s">
        <v>1384</v>
      </c>
      <c r="J56" s="129">
        <f t="shared" si="0"/>
        <v>54</v>
      </c>
      <c r="K56" s="130" t="s">
        <v>1434</v>
      </c>
      <c r="L56" s="130"/>
      <c r="M56" s="130"/>
      <c r="N56" s="129"/>
      <c r="O56" s="131"/>
      <c r="P56" s="131"/>
      <c r="Q56" s="131"/>
      <c r="R56" s="130" t="s">
        <v>1433</v>
      </c>
      <c r="S56" s="130" t="s">
        <v>1434</v>
      </c>
      <c r="T56" s="131"/>
      <c r="U56" s="130"/>
      <c r="V56" s="131"/>
    </row>
    <row r="57" spans="1:22" ht="21.75" thickBot="1">
      <c r="A57" s="241" t="s">
        <v>1389</v>
      </c>
      <c r="B57" s="242" t="s">
        <v>1383</v>
      </c>
      <c r="C57" s="243" t="s">
        <v>1390</v>
      </c>
      <c r="D57" s="244"/>
      <c r="J57" s="129">
        <f t="shared" si="0"/>
        <v>55</v>
      </c>
      <c r="K57" s="130" t="s">
        <v>1436</v>
      </c>
      <c r="L57" s="130"/>
      <c r="M57" s="130"/>
      <c r="N57" s="129"/>
      <c r="O57" s="131"/>
      <c r="P57" s="131"/>
      <c r="Q57" s="131"/>
      <c r="R57" s="130" t="s">
        <v>1435</v>
      </c>
      <c r="S57" s="130" t="s">
        <v>1436</v>
      </c>
      <c r="T57" s="131"/>
      <c r="U57" s="130"/>
      <c r="V57" s="131"/>
    </row>
    <row r="58" spans="1:22" ht="21.75" thickBot="1">
      <c r="A58" s="241" t="s">
        <v>1391</v>
      </c>
      <c r="B58" s="242" t="s">
        <v>1383</v>
      </c>
      <c r="C58" s="243" t="s">
        <v>1392</v>
      </c>
      <c r="D58" s="244"/>
      <c r="J58" s="129">
        <f t="shared" si="0"/>
        <v>56</v>
      </c>
      <c r="K58" s="130" t="s">
        <v>1438</v>
      </c>
      <c r="L58" s="130"/>
      <c r="M58" s="130"/>
      <c r="N58" s="129"/>
      <c r="O58" s="131"/>
      <c r="P58" s="131"/>
      <c r="Q58" s="131"/>
      <c r="R58" s="130" t="s">
        <v>1437</v>
      </c>
      <c r="S58" s="130" t="s">
        <v>1438</v>
      </c>
      <c r="T58" s="131"/>
      <c r="U58" s="130"/>
      <c r="V58" s="131"/>
    </row>
    <row r="59" spans="1:22" ht="21.75" thickBot="1">
      <c r="A59" s="241" t="s">
        <v>1393</v>
      </c>
      <c r="B59" s="242" t="s">
        <v>1383</v>
      </c>
      <c r="C59" s="243" t="s">
        <v>1394</v>
      </c>
      <c r="D59" s="244"/>
      <c r="J59" s="129">
        <f t="shared" si="0"/>
        <v>57</v>
      </c>
      <c r="K59" s="130" t="s">
        <v>1440</v>
      </c>
      <c r="L59" s="130"/>
      <c r="M59" s="130"/>
      <c r="N59" s="129"/>
      <c r="O59" s="131"/>
      <c r="P59" s="131"/>
      <c r="Q59" s="131"/>
      <c r="R59" s="130" t="s">
        <v>1439</v>
      </c>
      <c r="S59" s="130" t="s">
        <v>1440</v>
      </c>
      <c r="T59" s="131"/>
      <c r="U59" s="130"/>
      <c r="V59" s="131"/>
    </row>
    <row r="60" spans="1:22" ht="21.75" thickBot="1">
      <c r="A60" s="241" t="s">
        <v>690</v>
      </c>
      <c r="B60" s="242" t="s">
        <v>1383</v>
      </c>
      <c r="C60" s="243" t="s">
        <v>691</v>
      </c>
      <c r="D60" s="244" t="s">
        <v>1384</v>
      </c>
      <c r="J60" s="129">
        <f t="shared" si="0"/>
        <v>58</v>
      </c>
      <c r="K60" s="130" t="s">
        <v>1442</v>
      </c>
      <c r="L60" s="130"/>
      <c r="M60" s="130"/>
      <c r="N60" s="129"/>
      <c r="O60" s="131"/>
      <c r="P60" s="131"/>
      <c r="Q60" s="131"/>
      <c r="R60" s="130" t="s">
        <v>1441</v>
      </c>
      <c r="S60" s="130" t="s">
        <v>1442</v>
      </c>
      <c r="T60" s="131"/>
      <c r="U60" s="130"/>
      <c r="V60" s="131"/>
    </row>
    <row r="61" spans="1:22" ht="21.75" thickBot="1">
      <c r="A61" s="241" t="s">
        <v>1395</v>
      </c>
      <c r="B61" s="242" t="s">
        <v>1383</v>
      </c>
      <c r="C61" s="243" t="s">
        <v>1396</v>
      </c>
      <c r="D61" s="244"/>
      <c r="J61" s="129">
        <f t="shared" si="0"/>
        <v>59</v>
      </c>
      <c r="K61" s="130" t="s">
        <v>1443</v>
      </c>
      <c r="L61" s="130"/>
      <c r="M61" s="130"/>
      <c r="N61" s="129"/>
      <c r="O61" s="131"/>
      <c r="P61" s="131"/>
      <c r="Q61" s="131"/>
      <c r="R61" s="130" t="s">
        <v>1070</v>
      </c>
      <c r="S61" s="130" t="s">
        <v>1443</v>
      </c>
      <c r="T61" s="131"/>
      <c r="U61" s="130"/>
      <c r="V61" s="131"/>
    </row>
    <row r="62" spans="1:22" ht="21.75" thickBot="1">
      <c r="A62" s="241" t="s">
        <v>1397</v>
      </c>
      <c r="B62" s="242" t="s">
        <v>1383</v>
      </c>
      <c r="C62" s="243" t="s">
        <v>1398</v>
      </c>
      <c r="D62" s="244"/>
      <c r="J62" s="129">
        <f t="shared" si="0"/>
        <v>60</v>
      </c>
      <c r="K62" s="130" t="s">
        <v>1445</v>
      </c>
      <c r="L62" s="130"/>
      <c r="M62" s="130"/>
      <c r="N62" s="129"/>
      <c r="O62" s="131"/>
      <c r="P62" s="131"/>
      <c r="Q62" s="131"/>
      <c r="R62" s="130" t="s">
        <v>1444</v>
      </c>
      <c r="S62" s="130" t="s">
        <v>1445</v>
      </c>
      <c r="T62" s="131"/>
      <c r="U62" s="130"/>
      <c r="V62" s="131"/>
    </row>
    <row r="63" spans="1:22" ht="21.75" thickBot="1">
      <c r="A63" s="241" t="s">
        <v>1399</v>
      </c>
      <c r="B63" s="242" t="s">
        <v>1383</v>
      </c>
      <c r="C63" s="243" t="s">
        <v>1400</v>
      </c>
      <c r="D63" s="244"/>
      <c r="J63" s="129">
        <f t="shared" si="0"/>
        <v>61</v>
      </c>
      <c r="K63" s="130" t="s">
        <v>1447</v>
      </c>
      <c r="L63" s="130"/>
      <c r="M63" s="130"/>
      <c r="N63" s="129"/>
      <c r="O63" s="131"/>
      <c r="P63" s="131"/>
      <c r="Q63" s="131"/>
      <c r="R63" s="130" t="s">
        <v>1446</v>
      </c>
      <c r="S63" s="130" t="s">
        <v>1447</v>
      </c>
      <c r="T63" s="131"/>
      <c r="U63" s="130"/>
      <c r="V63" s="131"/>
    </row>
    <row r="64" spans="1:22" ht="21.75" thickBot="1">
      <c r="A64" s="241" t="s">
        <v>1401</v>
      </c>
      <c r="B64" s="242" t="s">
        <v>1383</v>
      </c>
      <c r="C64" s="243" t="s">
        <v>1402</v>
      </c>
      <c r="D64" s="244"/>
      <c r="J64" s="129">
        <f t="shared" si="0"/>
        <v>62</v>
      </c>
      <c r="K64" s="130" t="s">
        <v>1449</v>
      </c>
      <c r="L64" s="130"/>
      <c r="M64" s="130"/>
      <c r="N64" s="129"/>
      <c r="O64" s="131"/>
      <c r="P64" s="131"/>
      <c r="Q64" s="131"/>
      <c r="R64" s="130" t="s">
        <v>1448</v>
      </c>
      <c r="S64" s="130" t="s">
        <v>1449</v>
      </c>
      <c r="T64" s="131"/>
      <c r="U64" s="130"/>
      <c r="V64" s="131"/>
    </row>
    <row r="65" spans="1:22" ht="21.75" thickBot="1">
      <c r="A65" s="241" t="s">
        <v>1403</v>
      </c>
      <c r="B65" s="242" t="s">
        <v>1383</v>
      </c>
      <c r="C65" s="243" t="s">
        <v>1404</v>
      </c>
      <c r="D65" s="244"/>
      <c r="J65" s="129">
        <f t="shared" si="0"/>
        <v>63</v>
      </c>
      <c r="K65" s="130" t="s">
        <v>1451</v>
      </c>
      <c r="L65" s="130"/>
      <c r="M65" s="130"/>
      <c r="N65" s="129"/>
      <c r="O65" s="131"/>
      <c r="P65" s="131"/>
      <c r="Q65" s="131"/>
      <c r="R65" s="130" t="s">
        <v>1450</v>
      </c>
      <c r="S65" s="130" t="s">
        <v>1451</v>
      </c>
      <c r="T65" s="131"/>
      <c r="U65" s="130"/>
      <c r="V65" s="131"/>
    </row>
    <row r="66" spans="1:22" ht="21.75" thickBot="1">
      <c r="A66" s="241" t="s">
        <v>1405</v>
      </c>
      <c r="B66" s="242" t="s">
        <v>1383</v>
      </c>
      <c r="C66" s="243" t="s">
        <v>1406</v>
      </c>
      <c r="D66" s="244"/>
      <c r="J66" s="129">
        <f t="shared" si="0"/>
        <v>64</v>
      </c>
      <c r="K66" s="130" t="s">
        <v>1453</v>
      </c>
      <c r="L66" s="130"/>
      <c r="M66" s="130"/>
      <c r="N66" s="129"/>
      <c r="O66" s="131"/>
      <c r="P66" s="131"/>
      <c r="Q66" s="131"/>
      <c r="R66" s="130" t="s">
        <v>1452</v>
      </c>
      <c r="S66" s="130" t="s">
        <v>1453</v>
      </c>
      <c r="T66" s="131"/>
      <c r="U66" s="130"/>
      <c r="V66" s="131"/>
    </row>
    <row r="67" spans="1:22" ht="21.75" thickBot="1">
      <c r="A67" s="241" t="s">
        <v>1407</v>
      </c>
      <c r="B67" s="242" t="s">
        <v>1383</v>
      </c>
      <c r="C67" s="243" t="s">
        <v>1408</v>
      </c>
      <c r="D67" s="244"/>
      <c r="J67" s="129">
        <f t="shared" si="0"/>
        <v>65</v>
      </c>
      <c r="K67" s="130" t="s">
        <v>1455</v>
      </c>
      <c r="L67" s="130"/>
      <c r="M67" s="130"/>
      <c r="N67" s="129"/>
      <c r="O67" s="131"/>
      <c r="P67" s="131"/>
      <c r="Q67" s="131"/>
      <c r="R67" s="130" t="s">
        <v>1454</v>
      </c>
      <c r="S67" s="130" t="s">
        <v>1455</v>
      </c>
      <c r="T67" s="131"/>
      <c r="U67" s="130"/>
      <c r="V67" s="131"/>
    </row>
    <row r="68" spans="1:22" ht="21.75" thickBot="1">
      <c r="A68" s="241" t="s">
        <v>1409</v>
      </c>
      <c r="B68" s="242" t="s">
        <v>1383</v>
      </c>
      <c r="C68" s="243" t="s">
        <v>1410</v>
      </c>
      <c r="D68" s="244"/>
      <c r="J68" s="129">
        <f t="shared" si="0"/>
        <v>66</v>
      </c>
      <c r="K68" s="130" t="s">
        <v>1457</v>
      </c>
      <c r="L68" s="130"/>
      <c r="M68" s="130"/>
      <c r="N68" s="129"/>
      <c r="O68" s="131"/>
      <c r="P68" s="131"/>
      <c r="Q68" s="131"/>
      <c r="R68" s="130" t="s">
        <v>1456</v>
      </c>
      <c r="S68" s="130" t="s">
        <v>1457</v>
      </c>
      <c r="T68" s="131"/>
      <c r="U68" s="130"/>
      <c r="V68" s="131"/>
    </row>
    <row r="69" spans="1:22" ht="21.75" thickBot="1">
      <c r="A69" s="241" t="s">
        <v>1411</v>
      </c>
      <c r="B69" s="242" t="s">
        <v>1383</v>
      </c>
      <c r="C69" s="243" t="s">
        <v>1412</v>
      </c>
      <c r="D69" s="244"/>
      <c r="J69" s="129">
        <f t="shared" ref="J69:J132" si="1">J68+1</f>
        <v>67</v>
      </c>
      <c r="K69" s="130" t="s">
        <v>1459</v>
      </c>
      <c r="L69" s="130"/>
      <c r="M69" s="130"/>
      <c r="N69" s="129"/>
      <c r="O69" s="131"/>
      <c r="P69" s="131"/>
      <c r="Q69" s="131"/>
      <c r="R69" s="130" t="s">
        <v>1458</v>
      </c>
      <c r="S69" s="130" t="s">
        <v>1459</v>
      </c>
      <c r="T69" s="131"/>
      <c r="U69" s="130"/>
      <c r="V69" s="131"/>
    </row>
    <row r="70" spans="1:22" ht="21.75" thickBot="1">
      <c r="A70" s="241" t="s">
        <v>1413</v>
      </c>
      <c r="B70" s="242" t="s">
        <v>1383</v>
      </c>
      <c r="C70" s="243" t="s">
        <v>1414</v>
      </c>
      <c r="D70" s="244"/>
      <c r="J70" s="129">
        <f t="shared" si="1"/>
        <v>68</v>
      </c>
      <c r="K70" s="130" t="s">
        <v>1461</v>
      </c>
      <c r="L70" s="130"/>
      <c r="M70" s="130"/>
      <c r="N70" s="129"/>
      <c r="O70" s="131"/>
      <c r="P70" s="131"/>
      <c r="Q70" s="131"/>
      <c r="R70" s="130" t="s">
        <v>1460</v>
      </c>
      <c r="S70" s="130" t="s">
        <v>1461</v>
      </c>
      <c r="T70" s="131"/>
      <c r="U70" s="130"/>
      <c r="V70" s="131"/>
    </row>
    <row r="71" spans="1:22" ht="21.75" thickBot="1">
      <c r="A71" s="241" t="s">
        <v>1415</v>
      </c>
      <c r="B71" s="242" t="s">
        <v>1383</v>
      </c>
      <c r="C71" s="243" t="s">
        <v>1416</v>
      </c>
      <c r="D71" s="244"/>
      <c r="J71" s="129">
        <f t="shared" si="1"/>
        <v>69</v>
      </c>
      <c r="K71" s="130" t="s">
        <v>693</v>
      </c>
      <c r="L71" s="130"/>
      <c r="M71" s="130"/>
      <c r="N71" s="129"/>
      <c r="O71" s="131"/>
      <c r="P71" s="131"/>
      <c r="Q71" s="131"/>
      <c r="R71" s="130" t="s">
        <v>692</v>
      </c>
      <c r="S71" s="130" t="s">
        <v>693</v>
      </c>
      <c r="T71" s="131"/>
      <c r="U71" s="130"/>
      <c r="V71" s="131"/>
    </row>
    <row r="72" spans="1:22" ht="21.75" thickBot="1">
      <c r="A72" s="241" t="s">
        <v>1417</v>
      </c>
      <c r="B72" s="242" t="s">
        <v>1383</v>
      </c>
      <c r="C72" s="243" t="s">
        <v>1418</v>
      </c>
      <c r="D72" s="244"/>
      <c r="J72" s="129">
        <f t="shared" si="1"/>
        <v>70</v>
      </c>
      <c r="K72" s="130" t="s">
        <v>1463</v>
      </c>
      <c r="L72" s="130"/>
      <c r="M72" s="130"/>
      <c r="N72" s="129"/>
      <c r="O72" s="131"/>
      <c r="P72" s="131"/>
      <c r="Q72" s="131"/>
      <c r="R72" s="130" t="s">
        <v>1462</v>
      </c>
      <c r="S72" s="130" t="s">
        <v>1463</v>
      </c>
      <c r="T72" s="131"/>
      <c r="U72" s="130"/>
      <c r="V72" s="131"/>
    </row>
    <row r="73" spans="1:22" ht="21.75" thickBot="1">
      <c r="A73" s="241" t="s">
        <v>1419</v>
      </c>
      <c r="B73" s="242" t="s">
        <v>1383</v>
      </c>
      <c r="C73" s="243" t="s">
        <v>1420</v>
      </c>
      <c r="D73" s="244"/>
      <c r="J73" s="129">
        <f t="shared" si="1"/>
        <v>71</v>
      </c>
      <c r="K73" s="130" t="s">
        <v>1465</v>
      </c>
      <c r="L73" s="130"/>
      <c r="M73" s="130"/>
      <c r="N73" s="129"/>
      <c r="O73" s="131"/>
      <c r="P73" s="131"/>
      <c r="Q73" s="131"/>
      <c r="R73" s="130" t="s">
        <v>1464</v>
      </c>
      <c r="S73" s="130" t="s">
        <v>1465</v>
      </c>
      <c r="T73" s="131"/>
      <c r="U73" s="130"/>
      <c r="V73" s="131"/>
    </row>
    <row r="74" spans="1:22" ht="21.75" thickBot="1">
      <c r="A74" s="241" t="s">
        <v>1421</v>
      </c>
      <c r="B74" s="242" t="s">
        <v>1383</v>
      </c>
      <c r="C74" s="243" t="s">
        <v>1422</v>
      </c>
      <c r="D74" s="244"/>
      <c r="J74" s="129">
        <f t="shared" si="1"/>
        <v>72</v>
      </c>
      <c r="K74" s="130" t="s">
        <v>1467</v>
      </c>
      <c r="L74" s="130"/>
      <c r="M74" s="130"/>
      <c r="N74" s="129"/>
      <c r="O74" s="131"/>
      <c r="P74" s="131"/>
      <c r="Q74" s="131"/>
      <c r="R74" s="130" t="s">
        <v>1466</v>
      </c>
      <c r="S74" s="130" t="s">
        <v>1467</v>
      </c>
      <c r="T74" s="131"/>
      <c r="U74" s="130"/>
      <c r="V74" s="131"/>
    </row>
    <row r="75" spans="1:22" ht="21.75" thickBot="1">
      <c r="A75" s="241" t="s">
        <v>1423</v>
      </c>
      <c r="B75" s="242" t="s">
        <v>1383</v>
      </c>
      <c r="C75" s="243" t="s">
        <v>1424</v>
      </c>
      <c r="D75" s="244"/>
      <c r="J75" s="129">
        <f t="shared" si="1"/>
        <v>73</v>
      </c>
      <c r="K75" s="130" t="s">
        <v>1469</v>
      </c>
      <c r="L75" s="130"/>
      <c r="M75" s="130"/>
      <c r="N75" s="129"/>
      <c r="O75" s="131"/>
      <c r="P75" s="131"/>
      <c r="Q75" s="131"/>
      <c r="R75" s="130" t="s">
        <v>1468</v>
      </c>
      <c r="S75" s="130" t="s">
        <v>1469</v>
      </c>
      <c r="T75" s="131"/>
      <c r="U75" s="130"/>
      <c r="V75" s="131"/>
    </row>
    <row r="76" spans="1:22" ht="21.75" thickBot="1">
      <c r="A76" s="241" t="s">
        <v>1425</v>
      </c>
      <c r="B76" s="242" t="s">
        <v>1383</v>
      </c>
      <c r="C76" s="243" t="s">
        <v>1426</v>
      </c>
      <c r="D76" s="244"/>
      <c r="J76" s="129">
        <f t="shared" si="1"/>
        <v>74</v>
      </c>
      <c r="K76" s="130" t="s">
        <v>1471</v>
      </c>
      <c r="L76" s="130"/>
      <c r="M76" s="130"/>
      <c r="N76" s="129"/>
      <c r="O76" s="131"/>
      <c r="P76" s="131"/>
      <c r="Q76" s="131"/>
      <c r="R76" s="130" t="s">
        <v>1470</v>
      </c>
      <c r="S76" s="130" t="s">
        <v>1471</v>
      </c>
      <c r="T76" s="131"/>
      <c r="U76" s="130"/>
      <c r="V76" s="131"/>
    </row>
    <row r="77" spans="1:22" ht="21.75" thickBot="1">
      <c r="A77" s="241" t="s">
        <v>1427</v>
      </c>
      <c r="B77" s="242" t="s">
        <v>1383</v>
      </c>
      <c r="C77" s="243" t="s">
        <v>1428</v>
      </c>
      <c r="D77" s="244"/>
      <c r="J77" s="129">
        <f t="shared" si="1"/>
        <v>75</v>
      </c>
      <c r="K77" s="130" t="s">
        <v>1473</v>
      </c>
      <c r="L77" s="130"/>
      <c r="M77" s="130"/>
      <c r="N77" s="129"/>
      <c r="O77" s="131"/>
      <c r="P77" s="131"/>
      <c r="Q77" s="131"/>
      <c r="R77" s="130" t="s">
        <v>1472</v>
      </c>
      <c r="S77" s="130" t="s">
        <v>1473</v>
      </c>
      <c r="T77" s="131"/>
      <c r="U77" s="130"/>
      <c r="V77" s="131"/>
    </row>
    <row r="78" spans="1:22" ht="21.75" thickBot="1">
      <c r="A78" s="241" t="s">
        <v>1429</v>
      </c>
      <c r="B78" s="242" t="s">
        <v>1383</v>
      </c>
      <c r="C78" s="243" t="s">
        <v>1430</v>
      </c>
      <c r="D78" s="244"/>
      <c r="J78" s="129">
        <f t="shared" si="1"/>
        <v>76</v>
      </c>
      <c r="K78" s="130" t="s">
        <v>1475</v>
      </c>
      <c r="L78" s="130"/>
      <c r="M78" s="130"/>
      <c r="N78" s="129"/>
      <c r="O78" s="131"/>
      <c r="P78" s="131"/>
      <c r="Q78" s="131"/>
      <c r="R78" s="130" t="s">
        <v>1474</v>
      </c>
      <c r="S78" s="130" t="s">
        <v>1475</v>
      </c>
      <c r="T78" s="131"/>
      <c r="U78" s="130"/>
      <c r="V78" s="131"/>
    </row>
    <row r="79" spans="1:22" ht="21.75" thickBot="1">
      <c r="A79" s="241" t="s">
        <v>1431</v>
      </c>
      <c r="B79" s="242" t="s">
        <v>1383</v>
      </c>
      <c r="C79" s="243" t="s">
        <v>1432</v>
      </c>
      <c r="D79" s="244"/>
      <c r="J79" s="129">
        <f t="shared" si="1"/>
        <v>77</v>
      </c>
      <c r="K79" s="130" t="s">
        <v>1477</v>
      </c>
      <c r="L79" s="130"/>
      <c r="M79" s="130"/>
      <c r="N79" s="129"/>
      <c r="O79" s="131"/>
      <c r="P79" s="131"/>
      <c r="Q79" s="131"/>
      <c r="R79" s="130" t="s">
        <v>1476</v>
      </c>
      <c r="S79" s="130" t="s">
        <v>1477</v>
      </c>
      <c r="T79" s="131"/>
      <c r="U79" s="130"/>
      <c r="V79" s="131"/>
    </row>
    <row r="80" spans="1:22" ht="21.75" thickBot="1">
      <c r="A80" s="241" t="s">
        <v>1433</v>
      </c>
      <c r="B80" s="242" t="s">
        <v>1383</v>
      </c>
      <c r="C80" s="243" t="s">
        <v>1434</v>
      </c>
      <c r="D80" s="244"/>
      <c r="J80" s="129">
        <f t="shared" si="1"/>
        <v>78</v>
      </c>
      <c r="K80" s="130" t="s">
        <v>1479</v>
      </c>
      <c r="L80" s="130"/>
      <c r="M80" s="130"/>
      <c r="N80" s="129"/>
      <c r="O80" s="131"/>
      <c r="P80" s="131"/>
      <c r="Q80" s="131"/>
      <c r="R80" s="130" t="s">
        <v>1478</v>
      </c>
      <c r="S80" s="130" t="s">
        <v>1479</v>
      </c>
      <c r="T80" s="131"/>
      <c r="U80" s="130"/>
      <c r="V80" s="131"/>
    </row>
    <row r="81" spans="1:22" ht="21.75" thickBot="1">
      <c r="A81" s="241" t="s">
        <v>1435</v>
      </c>
      <c r="B81" s="242" t="s">
        <v>1383</v>
      </c>
      <c r="C81" s="243" t="s">
        <v>1436</v>
      </c>
      <c r="D81" s="244"/>
      <c r="J81" s="129">
        <f t="shared" si="1"/>
        <v>79</v>
      </c>
      <c r="K81" s="130" t="s">
        <v>1481</v>
      </c>
      <c r="L81" s="130"/>
      <c r="M81" s="130"/>
      <c r="N81" s="129"/>
      <c r="O81" s="131"/>
      <c r="P81" s="131"/>
      <c r="Q81" s="131"/>
      <c r="R81" s="130" t="s">
        <v>1480</v>
      </c>
      <c r="S81" s="130" t="s">
        <v>1481</v>
      </c>
      <c r="T81" s="131"/>
      <c r="U81" s="130"/>
      <c r="V81" s="131"/>
    </row>
    <row r="82" spans="1:22" ht="21.75" thickBot="1">
      <c r="A82" s="241" t="s">
        <v>1437</v>
      </c>
      <c r="B82" s="242" t="s">
        <v>1383</v>
      </c>
      <c r="C82" s="243" t="s">
        <v>1438</v>
      </c>
      <c r="D82" s="244"/>
      <c r="J82" s="129">
        <f t="shared" si="1"/>
        <v>80</v>
      </c>
      <c r="K82" s="130" t="s">
        <v>1483</v>
      </c>
      <c r="L82" s="130"/>
      <c r="M82" s="130"/>
      <c r="N82" s="129"/>
      <c r="O82" s="131"/>
      <c r="P82" s="131"/>
      <c r="Q82" s="131"/>
      <c r="R82" s="130" t="s">
        <v>1482</v>
      </c>
      <c r="S82" s="130" t="s">
        <v>1483</v>
      </c>
      <c r="T82" s="131"/>
      <c r="U82" s="130"/>
      <c r="V82" s="131"/>
    </row>
    <row r="83" spans="1:22" ht="21.75" thickBot="1">
      <c r="A83" s="241" t="s">
        <v>1439</v>
      </c>
      <c r="B83" s="242" t="s">
        <v>1383</v>
      </c>
      <c r="C83" s="243" t="s">
        <v>1440</v>
      </c>
      <c r="D83" s="244"/>
      <c r="J83" s="129">
        <f t="shared" si="1"/>
        <v>81</v>
      </c>
      <c r="K83" s="130" t="s">
        <v>1485</v>
      </c>
      <c r="L83" s="130"/>
      <c r="M83" s="130"/>
      <c r="N83" s="129"/>
      <c r="O83" s="131"/>
      <c r="P83" s="131"/>
      <c r="Q83" s="131"/>
      <c r="R83" s="130" t="s">
        <v>1484</v>
      </c>
      <c r="S83" s="130" t="s">
        <v>1485</v>
      </c>
      <c r="T83" s="131"/>
      <c r="U83" s="130"/>
      <c r="V83" s="131"/>
    </row>
    <row r="84" spans="1:22" ht="21.75" thickBot="1">
      <c r="A84" s="241" t="s">
        <v>1441</v>
      </c>
      <c r="B84" s="242" t="s">
        <v>1383</v>
      </c>
      <c r="C84" s="243" t="s">
        <v>1442</v>
      </c>
      <c r="D84" s="244"/>
      <c r="J84" s="129">
        <f t="shared" si="1"/>
        <v>82</v>
      </c>
      <c r="K84" s="130" t="s">
        <v>1487</v>
      </c>
      <c r="L84" s="130"/>
      <c r="M84" s="130"/>
      <c r="N84" s="129"/>
      <c r="O84" s="131"/>
      <c r="P84" s="131"/>
      <c r="Q84" s="131"/>
      <c r="R84" s="130" t="s">
        <v>1486</v>
      </c>
      <c r="S84" s="130" t="s">
        <v>1487</v>
      </c>
      <c r="T84" s="131"/>
      <c r="U84" s="130"/>
      <c r="V84" s="131"/>
    </row>
    <row r="85" spans="1:22" ht="21.75" thickBot="1">
      <c r="A85" s="241" t="s">
        <v>1070</v>
      </c>
      <c r="B85" s="242" t="s">
        <v>1383</v>
      </c>
      <c r="C85" s="243" t="s">
        <v>1443</v>
      </c>
      <c r="D85" s="244"/>
      <c r="J85" s="129">
        <f t="shared" si="1"/>
        <v>83</v>
      </c>
      <c r="K85" s="130" t="s">
        <v>1489</v>
      </c>
      <c r="L85" s="130"/>
      <c r="M85" s="130"/>
      <c r="N85" s="129"/>
      <c r="O85" s="131"/>
      <c r="P85" s="131"/>
      <c r="Q85" s="131"/>
      <c r="R85" s="130" t="s">
        <v>1488</v>
      </c>
      <c r="S85" s="130" t="s">
        <v>1489</v>
      </c>
      <c r="T85" s="131"/>
      <c r="U85" s="130"/>
      <c r="V85" s="131"/>
    </row>
    <row r="86" spans="1:22" ht="21.75" thickBot="1">
      <c r="A86" s="241" t="s">
        <v>1444</v>
      </c>
      <c r="B86" s="242" t="s">
        <v>1383</v>
      </c>
      <c r="C86" s="243" t="s">
        <v>1445</v>
      </c>
      <c r="D86" s="244"/>
      <c r="J86" s="129">
        <f t="shared" si="1"/>
        <v>84</v>
      </c>
      <c r="K86" s="130" t="s">
        <v>1491</v>
      </c>
      <c r="L86" s="130"/>
      <c r="M86" s="130"/>
      <c r="N86" s="129"/>
      <c r="O86" s="131"/>
      <c r="P86" s="131"/>
      <c r="Q86" s="131"/>
      <c r="R86" s="130" t="s">
        <v>1490</v>
      </c>
      <c r="S86" s="130" t="s">
        <v>1491</v>
      </c>
      <c r="T86" s="131"/>
      <c r="U86" s="130"/>
      <c r="V86" s="131"/>
    </row>
    <row r="87" spans="1:22" ht="21.75" thickBot="1">
      <c r="A87" s="241" t="s">
        <v>1446</v>
      </c>
      <c r="B87" s="242" t="s">
        <v>1383</v>
      </c>
      <c r="C87" s="243" t="s">
        <v>1447</v>
      </c>
      <c r="D87" s="244"/>
      <c r="J87" s="129">
        <f t="shared" si="1"/>
        <v>85</v>
      </c>
      <c r="K87" s="130" t="s">
        <v>1493</v>
      </c>
      <c r="L87" s="130"/>
      <c r="M87" s="130"/>
      <c r="N87" s="129"/>
      <c r="O87" s="131"/>
      <c r="P87" s="131"/>
      <c r="Q87" s="131"/>
      <c r="R87" s="130" t="s">
        <v>1492</v>
      </c>
      <c r="S87" s="130" t="s">
        <v>1493</v>
      </c>
      <c r="T87" s="131"/>
      <c r="U87" s="130"/>
      <c r="V87" s="131"/>
    </row>
    <row r="88" spans="1:22" ht="21.75" thickBot="1">
      <c r="A88" s="241" t="s">
        <v>1448</v>
      </c>
      <c r="B88" s="242" t="s">
        <v>1383</v>
      </c>
      <c r="C88" s="243" t="s">
        <v>1449</v>
      </c>
      <c r="D88" s="244"/>
      <c r="J88" s="129">
        <f t="shared" si="1"/>
        <v>86</v>
      </c>
      <c r="K88" s="130" t="s">
        <v>695</v>
      </c>
      <c r="L88" s="130"/>
      <c r="M88" s="130"/>
      <c r="N88" s="129"/>
      <c r="O88" s="131"/>
      <c r="P88" s="131"/>
      <c r="Q88" s="131"/>
      <c r="R88" s="130" t="s">
        <v>694</v>
      </c>
      <c r="S88" s="130" t="s">
        <v>695</v>
      </c>
      <c r="T88" s="131"/>
      <c r="U88" s="130"/>
      <c r="V88" s="131"/>
    </row>
    <row r="89" spans="1:22" ht="21.75" thickBot="1">
      <c r="A89" s="241" t="s">
        <v>1450</v>
      </c>
      <c r="B89" s="242" t="s">
        <v>1383</v>
      </c>
      <c r="C89" s="243" t="s">
        <v>1451</v>
      </c>
      <c r="D89" s="244"/>
      <c r="J89" s="129">
        <f t="shared" si="1"/>
        <v>87</v>
      </c>
      <c r="K89" s="130" t="s">
        <v>697</v>
      </c>
      <c r="L89" s="130"/>
      <c r="M89" s="130"/>
      <c r="N89" s="129"/>
      <c r="O89" s="131"/>
      <c r="P89" s="131"/>
      <c r="Q89" s="131"/>
      <c r="R89" s="130" t="s">
        <v>696</v>
      </c>
      <c r="S89" s="130" t="s">
        <v>697</v>
      </c>
      <c r="T89" s="131"/>
      <c r="U89" s="130"/>
      <c r="V89" s="131"/>
    </row>
    <row r="90" spans="1:22" ht="21.75" thickBot="1">
      <c r="A90" s="241" t="s">
        <v>1452</v>
      </c>
      <c r="B90" s="242" t="s">
        <v>1383</v>
      </c>
      <c r="C90" s="243" t="s">
        <v>1453</v>
      </c>
      <c r="D90" s="244"/>
      <c r="J90" s="129">
        <f t="shared" si="1"/>
        <v>88</v>
      </c>
      <c r="K90" s="130" t="s">
        <v>1187</v>
      </c>
      <c r="L90" s="130"/>
      <c r="M90" s="130"/>
      <c r="N90" s="129"/>
      <c r="O90" s="131"/>
      <c r="P90" s="131"/>
      <c r="Q90" s="131"/>
      <c r="R90" s="130" t="s">
        <v>810</v>
      </c>
      <c r="S90" s="130" t="s">
        <v>1187</v>
      </c>
      <c r="T90" s="131"/>
      <c r="U90" s="130"/>
      <c r="V90" s="131"/>
    </row>
    <row r="91" spans="1:22" ht="21.75" thickBot="1">
      <c r="A91" s="241" t="s">
        <v>1454</v>
      </c>
      <c r="B91" s="242" t="s">
        <v>1383</v>
      </c>
      <c r="C91" s="243" t="s">
        <v>1455</v>
      </c>
      <c r="D91" s="244"/>
      <c r="J91" s="129">
        <f t="shared" si="1"/>
        <v>89</v>
      </c>
      <c r="K91" s="130" t="s">
        <v>1189</v>
      </c>
      <c r="L91" s="130"/>
      <c r="M91" s="130"/>
      <c r="N91" s="129"/>
      <c r="O91" s="131"/>
      <c r="P91" s="131"/>
      <c r="Q91" s="131"/>
      <c r="R91" s="130" t="s">
        <v>1188</v>
      </c>
      <c r="S91" s="130" t="s">
        <v>1189</v>
      </c>
      <c r="T91" s="131"/>
      <c r="U91" s="130"/>
      <c r="V91" s="131"/>
    </row>
    <row r="92" spans="1:22" ht="21.75" thickBot="1">
      <c r="A92" s="241" t="s">
        <v>1456</v>
      </c>
      <c r="B92" s="242" t="s">
        <v>1383</v>
      </c>
      <c r="C92" s="243" t="s">
        <v>1457</v>
      </c>
      <c r="D92" s="244"/>
      <c r="J92" s="129">
        <f t="shared" si="1"/>
        <v>90</v>
      </c>
      <c r="K92" s="130" t="s">
        <v>1191</v>
      </c>
      <c r="L92" s="130"/>
      <c r="M92" s="130"/>
      <c r="N92" s="129"/>
      <c r="O92" s="131"/>
      <c r="P92" s="131"/>
      <c r="Q92" s="131"/>
      <c r="R92" s="130" t="s">
        <v>1190</v>
      </c>
      <c r="S92" s="130" t="s">
        <v>1191</v>
      </c>
      <c r="T92" s="131"/>
      <c r="U92" s="130"/>
      <c r="V92" s="131"/>
    </row>
    <row r="93" spans="1:22" ht="21.75" thickBot="1">
      <c r="A93" s="241" t="s">
        <v>1458</v>
      </c>
      <c r="B93" s="242" t="s">
        <v>1383</v>
      </c>
      <c r="C93" s="243" t="s">
        <v>1459</v>
      </c>
      <c r="D93" s="244"/>
      <c r="J93" s="129">
        <f t="shared" si="1"/>
        <v>91</v>
      </c>
      <c r="K93" s="130" t="s">
        <v>1193</v>
      </c>
      <c r="L93" s="130"/>
      <c r="M93" s="130"/>
      <c r="N93" s="129"/>
      <c r="O93" s="131"/>
      <c r="P93" s="131"/>
      <c r="Q93" s="131"/>
      <c r="R93" s="130" t="s">
        <v>1192</v>
      </c>
      <c r="S93" s="130" t="s">
        <v>1193</v>
      </c>
      <c r="T93" s="131"/>
      <c r="U93" s="130"/>
      <c r="V93" s="131"/>
    </row>
    <row r="94" spans="1:22" ht="21.75" thickBot="1">
      <c r="A94" s="241" t="s">
        <v>1460</v>
      </c>
      <c r="B94" s="242" t="s">
        <v>1383</v>
      </c>
      <c r="C94" s="243" t="s">
        <v>1461</v>
      </c>
      <c r="D94" s="244"/>
      <c r="J94" s="129">
        <f t="shared" si="1"/>
        <v>92</v>
      </c>
      <c r="K94" s="130" t="s">
        <v>1195</v>
      </c>
      <c r="L94" s="130"/>
      <c r="M94" s="130"/>
      <c r="N94" s="129"/>
      <c r="O94" s="131"/>
      <c r="P94" s="131"/>
      <c r="Q94" s="131"/>
      <c r="R94" s="130" t="s">
        <v>1194</v>
      </c>
      <c r="S94" s="130" t="s">
        <v>1195</v>
      </c>
      <c r="T94" s="131"/>
      <c r="U94" s="130"/>
      <c r="V94" s="131"/>
    </row>
    <row r="95" spans="1:22" ht="27.75" thickBot="1">
      <c r="A95" s="241" t="s">
        <v>692</v>
      </c>
      <c r="B95" s="242" t="s">
        <v>1383</v>
      </c>
      <c r="C95" s="243" t="s">
        <v>693</v>
      </c>
      <c r="D95" s="244" t="s">
        <v>1384</v>
      </c>
      <c r="J95" s="129">
        <f t="shared" si="1"/>
        <v>93</v>
      </c>
      <c r="K95" s="130" t="s">
        <v>1197</v>
      </c>
      <c r="L95" s="130"/>
      <c r="M95" s="130"/>
      <c r="N95" s="129"/>
      <c r="O95" s="131"/>
      <c r="P95" s="131"/>
      <c r="Q95" s="131"/>
      <c r="R95" s="130" t="s">
        <v>1196</v>
      </c>
      <c r="S95" s="130" t="s">
        <v>1197</v>
      </c>
      <c r="T95" s="131"/>
      <c r="U95" s="130"/>
      <c r="V95" s="131"/>
    </row>
    <row r="96" spans="1:22" ht="21.75" thickBot="1">
      <c r="A96" s="241" t="s">
        <v>1462</v>
      </c>
      <c r="B96" s="242" t="s">
        <v>1383</v>
      </c>
      <c r="C96" s="243" t="s">
        <v>1463</v>
      </c>
      <c r="D96" s="244"/>
      <c r="J96" s="129">
        <f t="shared" si="1"/>
        <v>94</v>
      </c>
      <c r="K96" s="130" t="s">
        <v>1199</v>
      </c>
      <c r="L96" s="130"/>
      <c r="M96" s="130"/>
      <c r="N96" s="129"/>
      <c r="O96" s="131"/>
      <c r="P96" s="131"/>
      <c r="Q96" s="131"/>
      <c r="R96" s="130" t="s">
        <v>1198</v>
      </c>
      <c r="S96" s="130" t="s">
        <v>1199</v>
      </c>
      <c r="T96" s="131"/>
      <c r="U96" s="130"/>
      <c r="V96" s="131"/>
    </row>
    <row r="97" spans="1:22" ht="21.75" thickBot="1">
      <c r="A97" s="241" t="s">
        <v>1464</v>
      </c>
      <c r="B97" s="242" t="s">
        <v>1383</v>
      </c>
      <c r="C97" s="243" t="s">
        <v>1465</v>
      </c>
      <c r="D97" s="244"/>
      <c r="J97" s="129">
        <f t="shared" si="1"/>
        <v>95</v>
      </c>
      <c r="K97" s="130" t="s">
        <v>1201</v>
      </c>
      <c r="L97" s="130"/>
      <c r="M97" s="130"/>
      <c r="N97" s="129"/>
      <c r="O97" s="131"/>
      <c r="P97" s="131"/>
      <c r="Q97" s="131"/>
      <c r="R97" s="130" t="s">
        <v>1200</v>
      </c>
      <c r="S97" s="130" t="s">
        <v>1201</v>
      </c>
      <c r="T97" s="131"/>
      <c r="U97" s="130"/>
      <c r="V97" s="131"/>
    </row>
    <row r="98" spans="1:22" ht="21.75" thickBot="1">
      <c r="A98" s="241" t="s">
        <v>1466</v>
      </c>
      <c r="B98" s="242" t="s">
        <v>1383</v>
      </c>
      <c r="C98" s="243" t="s">
        <v>1467</v>
      </c>
      <c r="D98" s="244"/>
      <c r="J98" s="129">
        <f t="shared" si="1"/>
        <v>96</v>
      </c>
      <c r="K98" s="130" t="s">
        <v>1207</v>
      </c>
      <c r="L98" s="130"/>
      <c r="M98" s="130"/>
      <c r="N98" s="129"/>
      <c r="O98" s="131"/>
      <c r="P98" s="131"/>
      <c r="Q98" s="131"/>
      <c r="R98" s="130" t="s">
        <v>1206</v>
      </c>
      <c r="S98" s="130" t="s">
        <v>1207</v>
      </c>
      <c r="T98" s="131"/>
      <c r="U98" s="130"/>
      <c r="V98" s="131"/>
    </row>
    <row r="99" spans="1:22" ht="21.75" thickBot="1">
      <c r="A99" s="241" t="s">
        <v>1468</v>
      </c>
      <c r="B99" s="242" t="s">
        <v>1383</v>
      </c>
      <c r="C99" s="243" t="s">
        <v>1469</v>
      </c>
      <c r="D99" s="244"/>
      <c r="J99" s="129">
        <f t="shared" si="1"/>
        <v>97</v>
      </c>
      <c r="K99" s="130" t="s">
        <v>1209</v>
      </c>
      <c r="L99" s="130"/>
      <c r="M99" s="130"/>
      <c r="N99" s="129"/>
      <c r="O99" s="131"/>
      <c r="P99" s="131"/>
      <c r="Q99" s="131"/>
      <c r="R99" s="130" t="s">
        <v>1208</v>
      </c>
      <c r="S99" s="130" t="s">
        <v>1209</v>
      </c>
      <c r="T99" s="131"/>
      <c r="U99" s="130"/>
      <c r="V99" s="131"/>
    </row>
    <row r="100" spans="1:22" ht="21.75" thickBot="1">
      <c r="A100" s="241" t="s">
        <v>1470</v>
      </c>
      <c r="B100" s="242" t="s">
        <v>1383</v>
      </c>
      <c r="C100" s="243" t="s">
        <v>1471</v>
      </c>
      <c r="D100" s="244"/>
      <c r="J100" s="129">
        <f t="shared" si="1"/>
        <v>98</v>
      </c>
      <c r="K100" s="130" t="s">
        <v>1495</v>
      </c>
      <c r="L100" s="130"/>
      <c r="M100" s="130"/>
      <c r="N100" s="129"/>
      <c r="O100" s="131"/>
      <c r="P100" s="131"/>
      <c r="Q100" s="131"/>
      <c r="R100" s="130" t="s">
        <v>1494</v>
      </c>
      <c r="S100" s="130" t="s">
        <v>1495</v>
      </c>
      <c r="T100" s="131"/>
      <c r="U100" s="130"/>
      <c r="V100" s="131"/>
    </row>
    <row r="101" spans="1:22" ht="21.75" thickBot="1">
      <c r="A101" s="241" t="s">
        <v>1472</v>
      </c>
      <c r="B101" s="242" t="s">
        <v>1383</v>
      </c>
      <c r="C101" s="243" t="s">
        <v>1473</v>
      </c>
      <c r="D101" s="244"/>
      <c r="J101" s="129">
        <f t="shared" si="1"/>
        <v>99</v>
      </c>
      <c r="K101" s="130" t="s">
        <v>1211</v>
      </c>
      <c r="L101" s="130"/>
      <c r="M101" s="130"/>
      <c r="N101" s="129"/>
      <c r="O101" s="131"/>
      <c r="P101" s="131"/>
      <c r="Q101" s="131"/>
      <c r="R101" s="130" t="s">
        <v>1210</v>
      </c>
      <c r="S101" s="130" t="s">
        <v>1211</v>
      </c>
      <c r="T101" s="131"/>
      <c r="U101" s="130"/>
      <c r="V101" s="131"/>
    </row>
    <row r="102" spans="1:22" ht="21.75" thickBot="1">
      <c r="A102" s="241" t="s">
        <v>1474</v>
      </c>
      <c r="B102" s="242" t="s">
        <v>1383</v>
      </c>
      <c r="C102" s="243" t="s">
        <v>1475</v>
      </c>
      <c r="D102" s="244"/>
      <c r="J102" s="129">
        <f t="shared" si="1"/>
        <v>100</v>
      </c>
      <c r="K102" s="130" t="s">
        <v>1213</v>
      </c>
      <c r="L102" s="130"/>
      <c r="M102" s="130"/>
      <c r="N102" s="129"/>
      <c r="O102" s="131"/>
      <c r="P102" s="131"/>
      <c r="Q102" s="131"/>
      <c r="R102" s="130" t="s">
        <v>1212</v>
      </c>
      <c r="S102" s="130" t="s">
        <v>1213</v>
      </c>
      <c r="T102" s="131"/>
      <c r="U102" s="130"/>
      <c r="V102" s="131"/>
    </row>
    <row r="103" spans="1:22" ht="27.75" thickBot="1">
      <c r="A103" s="241" t="s">
        <v>1476</v>
      </c>
      <c r="B103" s="242" t="s">
        <v>1383</v>
      </c>
      <c r="C103" s="243" t="s">
        <v>1477</v>
      </c>
      <c r="D103" s="244"/>
      <c r="J103" s="129">
        <f t="shared" si="1"/>
        <v>101</v>
      </c>
      <c r="K103" s="130" t="s">
        <v>1215</v>
      </c>
      <c r="L103" s="130"/>
      <c r="M103" s="130"/>
      <c r="N103" s="129"/>
      <c r="O103" s="131"/>
      <c r="P103" s="131"/>
      <c r="Q103" s="131"/>
      <c r="R103" s="130" t="s">
        <v>1214</v>
      </c>
      <c r="S103" s="130" t="s">
        <v>1215</v>
      </c>
      <c r="T103" s="131"/>
      <c r="U103" s="130"/>
      <c r="V103" s="131"/>
    </row>
    <row r="104" spans="1:22" ht="21.75" thickBot="1">
      <c r="A104" s="241" t="s">
        <v>1478</v>
      </c>
      <c r="B104" s="242" t="s">
        <v>1383</v>
      </c>
      <c r="C104" s="243" t="s">
        <v>1479</v>
      </c>
      <c r="D104" s="244"/>
      <c r="J104" s="129">
        <f t="shared" si="1"/>
        <v>102</v>
      </c>
      <c r="K104" s="130" t="s">
        <v>1217</v>
      </c>
      <c r="L104" s="130"/>
      <c r="M104" s="130"/>
      <c r="N104" s="129"/>
      <c r="O104" s="131"/>
      <c r="P104" s="131"/>
      <c r="Q104" s="131"/>
      <c r="R104" s="130" t="s">
        <v>1216</v>
      </c>
      <c r="S104" s="130" t="s">
        <v>1217</v>
      </c>
      <c r="T104" s="131"/>
      <c r="U104" s="130"/>
      <c r="V104" s="131"/>
    </row>
    <row r="105" spans="1:22" ht="21.75" thickBot="1">
      <c r="A105" s="241" t="s">
        <v>1480</v>
      </c>
      <c r="B105" s="242" t="s">
        <v>1383</v>
      </c>
      <c r="C105" s="243" t="s">
        <v>1481</v>
      </c>
      <c r="D105" s="244"/>
      <c r="J105" s="129">
        <f t="shared" si="1"/>
        <v>103</v>
      </c>
      <c r="K105" s="130" t="s">
        <v>1219</v>
      </c>
      <c r="L105" s="130"/>
      <c r="M105" s="130"/>
      <c r="N105" s="129"/>
      <c r="O105" s="131"/>
      <c r="P105" s="131"/>
      <c r="Q105" s="131"/>
      <c r="R105" s="130" t="s">
        <v>1218</v>
      </c>
      <c r="S105" s="130" t="s">
        <v>1219</v>
      </c>
      <c r="T105" s="131"/>
      <c r="U105" s="130"/>
      <c r="V105" s="131"/>
    </row>
    <row r="106" spans="1:22" ht="21.75" thickBot="1">
      <c r="A106" s="241" t="s">
        <v>1482</v>
      </c>
      <c r="B106" s="242" t="s">
        <v>1383</v>
      </c>
      <c r="C106" s="243" t="s">
        <v>1483</v>
      </c>
      <c r="D106" s="244"/>
      <c r="J106" s="129">
        <f t="shared" si="1"/>
        <v>104</v>
      </c>
      <c r="K106" s="130" t="s">
        <v>1221</v>
      </c>
      <c r="L106" s="130"/>
      <c r="M106" s="130"/>
      <c r="N106" s="129"/>
      <c r="O106" s="131"/>
      <c r="P106" s="131"/>
      <c r="Q106" s="131"/>
      <c r="R106" s="130" t="s">
        <v>1220</v>
      </c>
      <c r="S106" s="130" t="s">
        <v>1221</v>
      </c>
      <c r="T106" s="131"/>
      <c r="U106" s="130"/>
      <c r="V106" s="131"/>
    </row>
    <row r="107" spans="1:22" ht="21.75" thickBot="1">
      <c r="A107" s="241" t="s">
        <v>1484</v>
      </c>
      <c r="B107" s="242" t="s">
        <v>1383</v>
      </c>
      <c r="C107" s="243" t="s">
        <v>1485</v>
      </c>
      <c r="D107" s="244"/>
      <c r="J107" s="129">
        <f t="shared" si="1"/>
        <v>105</v>
      </c>
      <c r="K107" s="130" t="s">
        <v>1223</v>
      </c>
      <c r="L107" s="130"/>
      <c r="M107" s="130"/>
      <c r="N107" s="129"/>
      <c r="O107" s="131"/>
      <c r="P107" s="131"/>
      <c r="Q107" s="131"/>
      <c r="R107" s="130" t="s">
        <v>1222</v>
      </c>
      <c r="S107" s="130" t="s">
        <v>1223</v>
      </c>
      <c r="T107" s="131"/>
      <c r="U107" s="130"/>
      <c r="V107" s="131"/>
    </row>
    <row r="108" spans="1:22" ht="21.75" thickBot="1">
      <c r="A108" s="241" t="s">
        <v>1486</v>
      </c>
      <c r="B108" s="242" t="s">
        <v>1383</v>
      </c>
      <c r="C108" s="243" t="s">
        <v>1487</v>
      </c>
      <c r="D108" s="244"/>
      <c r="J108" s="129">
        <f t="shared" si="1"/>
        <v>106</v>
      </c>
      <c r="K108" s="130" t="s">
        <v>1225</v>
      </c>
      <c r="L108" s="130"/>
      <c r="M108" s="130"/>
      <c r="N108" s="129"/>
      <c r="O108" s="131"/>
      <c r="P108" s="131"/>
      <c r="Q108" s="131"/>
      <c r="R108" s="130" t="s">
        <v>1224</v>
      </c>
      <c r="S108" s="130" t="s">
        <v>1225</v>
      </c>
      <c r="T108" s="131"/>
      <c r="U108" s="130"/>
      <c r="V108" s="131"/>
    </row>
    <row r="109" spans="1:22" ht="21.75" thickBot="1">
      <c r="A109" s="241" t="s">
        <v>1488</v>
      </c>
      <c r="B109" s="242" t="s">
        <v>1383</v>
      </c>
      <c r="C109" s="243" t="s">
        <v>1489</v>
      </c>
      <c r="D109" s="244"/>
      <c r="J109" s="129">
        <f t="shared" si="1"/>
        <v>107</v>
      </c>
      <c r="K109" s="130" t="s">
        <v>1227</v>
      </c>
      <c r="L109" s="130"/>
      <c r="M109" s="130"/>
      <c r="N109" s="129"/>
      <c r="O109" s="131"/>
      <c r="P109" s="131"/>
      <c r="Q109" s="131"/>
      <c r="R109" s="130" t="s">
        <v>1226</v>
      </c>
      <c r="S109" s="130" t="s">
        <v>1227</v>
      </c>
      <c r="T109" s="131"/>
      <c r="U109" s="130"/>
      <c r="V109" s="131"/>
    </row>
    <row r="110" spans="1:22" ht="21.75" thickBot="1">
      <c r="A110" s="241" t="s">
        <v>1490</v>
      </c>
      <c r="B110" s="242" t="s">
        <v>1383</v>
      </c>
      <c r="C110" s="243" t="s">
        <v>1491</v>
      </c>
      <c r="D110" s="244"/>
      <c r="J110" s="129">
        <f t="shared" si="1"/>
        <v>108</v>
      </c>
      <c r="K110" s="130" t="s">
        <v>1229</v>
      </c>
      <c r="L110" s="130"/>
      <c r="M110" s="130"/>
      <c r="N110" s="129"/>
      <c r="O110" s="131"/>
      <c r="P110" s="131"/>
      <c r="Q110" s="131"/>
      <c r="R110" s="130" t="s">
        <v>1228</v>
      </c>
      <c r="S110" s="130" t="s">
        <v>1229</v>
      </c>
      <c r="T110" s="131"/>
      <c r="U110" s="130"/>
      <c r="V110" s="131"/>
    </row>
    <row r="111" spans="1:22" ht="21.75" thickBot="1">
      <c r="A111" s="241" t="s">
        <v>1492</v>
      </c>
      <c r="B111" s="242" t="s">
        <v>1383</v>
      </c>
      <c r="C111" s="243" t="s">
        <v>1493</v>
      </c>
      <c r="D111" s="244"/>
      <c r="J111" s="129">
        <f t="shared" si="1"/>
        <v>109</v>
      </c>
      <c r="K111" s="130" t="s">
        <v>1231</v>
      </c>
      <c r="L111" s="130"/>
      <c r="M111" s="130"/>
      <c r="N111" s="129"/>
      <c r="O111" s="131"/>
      <c r="P111" s="131"/>
      <c r="Q111" s="131"/>
      <c r="R111" s="130" t="s">
        <v>1230</v>
      </c>
      <c r="S111" s="130" t="s">
        <v>1231</v>
      </c>
      <c r="T111" s="131"/>
      <c r="U111" s="130"/>
      <c r="V111" s="131"/>
    </row>
    <row r="112" spans="1:22" ht="21.75" thickBot="1">
      <c r="A112" s="241" t="s">
        <v>694</v>
      </c>
      <c r="B112" s="242" t="s">
        <v>1383</v>
      </c>
      <c r="C112" s="243" t="s">
        <v>695</v>
      </c>
      <c r="D112" s="244" t="s">
        <v>1384</v>
      </c>
      <c r="J112" s="129">
        <f t="shared" si="1"/>
        <v>110</v>
      </c>
      <c r="K112" s="130" t="s">
        <v>1233</v>
      </c>
      <c r="L112" s="130"/>
      <c r="M112" s="130"/>
      <c r="N112" s="129"/>
      <c r="O112" s="131"/>
      <c r="P112" s="131"/>
      <c r="Q112" s="131"/>
      <c r="R112" s="130" t="s">
        <v>1232</v>
      </c>
      <c r="S112" s="130" t="s">
        <v>1233</v>
      </c>
      <c r="T112" s="131"/>
      <c r="U112" s="130"/>
      <c r="V112" s="131"/>
    </row>
    <row r="113" spans="1:22" ht="21.75" thickBot="1">
      <c r="A113" s="241" t="s">
        <v>696</v>
      </c>
      <c r="B113" s="242" t="s">
        <v>1383</v>
      </c>
      <c r="C113" s="243" t="s">
        <v>697</v>
      </c>
      <c r="D113" s="244" t="s">
        <v>1384</v>
      </c>
      <c r="J113" s="129">
        <f t="shared" si="1"/>
        <v>111</v>
      </c>
      <c r="K113" s="130" t="s">
        <v>1237</v>
      </c>
      <c r="L113" s="130"/>
      <c r="M113" s="130"/>
      <c r="N113" s="129"/>
      <c r="O113" s="131"/>
      <c r="P113" s="131"/>
      <c r="Q113" s="131"/>
      <c r="R113" s="130" t="s">
        <v>1236</v>
      </c>
      <c r="S113" s="130" t="s">
        <v>1237</v>
      </c>
      <c r="T113" s="131"/>
      <c r="U113" s="130"/>
      <c r="V113" s="131"/>
    </row>
    <row r="114" spans="1:22" ht="21.75" thickBot="1">
      <c r="A114" s="241" t="s">
        <v>810</v>
      </c>
      <c r="B114" s="242" t="s">
        <v>1383</v>
      </c>
      <c r="C114" s="243" t="s">
        <v>1187</v>
      </c>
      <c r="D114" s="244"/>
      <c r="J114" s="129">
        <f t="shared" si="1"/>
        <v>112</v>
      </c>
      <c r="K114" s="130" t="s">
        <v>1239</v>
      </c>
      <c r="L114" s="130"/>
      <c r="M114" s="130"/>
      <c r="N114" s="129"/>
      <c r="O114" s="131"/>
      <c r="P114" s="131"/>
      <c r="Q114" s="131"/>
      <c r="R114" s="130" t="s">
        <v>1238</v>
      </c>
      <c r="S114" s="130" t="s">
        <v>1239</v>
      </c>
      <c r="T114" s="131"/>
      <c r="U114" s="130"/>
      <c r="V114" s="131"/>
    </row>
    <row r="115" spans="1:22" ht="21.75" thickBot="1">
      <c r="A115" s="241" t="s">
        <v>1188</v>
      </c>
      <c r="B115" s="242" t="s">
        <v>1383</v>
      </c>
      <c r="C115" s="243" t="s">
        <v>1189</v>
      </c>
      <c r="D115" s="244"/>
      <c r="J115" s="129">
        <f t="shared" si="1"/>
        <v>113</v>
      </c>
      <c r="K115" s="130" t="s">
        <v>1243</v>
      </c>
      <c r="L115" s="130"/>
      <c r="M115" s="130"/>
      <c r="N115" s="129"/>
      <c r="O115" s="131"/>
      <c r="P115" s="131"/>
      <c r="Q115" s="131"/>
      <c r="R115" s="130" t="s">
        <v>1242</v>
      </c>
      <c r="S115" s="130" t="s">
        <v>1243</v>
      </c>
      <c r="T115" s="131"/>
      <c r="U115" s="130"/>
      <c r="V115" s="131"/>
    </row>
    <row r="116" spans="1:22" ht="21.75" thickBot="1">
      <c r="A116" s="241" t="s">
        <v>1190</v>
      </c>
      <c r="B116" s="242" t="s">
        <v>1383</v>
      </c>
      <c r="C116" s="243" t="s">
        <v>1191</v>
      </c>
      <c r="D116" s="244"/>
      <c r="J116" s="129">
        <f t="shared" si="1"/>
        <v>114</v>
      </c>
      <c r="K116" s="130" t="s">
        <v>1245</v>
      </c>
      <c r="L116" s="130"/>
      <c r="M116" s="130"/>
      <c r="N116" s="129"/>
      <c r="O116" s="131"/>
      <c r="P116" s="131"/>
      <c r="Q116" s="131"/>
      <c r="R116" s="130" t="s">
        <v>1244</v>
      </c>
      <c r="S116" s="130" t="s">
        <v>1245</v>
      </c>
      <c r="T116" s="131"/>
      <c r="U116" s="130"/>
      <c r="V116" s="131"/>
    </row>
    <row r="117" spans="1:22" ht="21.75" thickBot="1">
      <c r="A117" s="241" t="s">
        <v>1192</v>
      </c>
      <c r="B117" s="242" t="s">
        <v>1383</v>
      </c>
      <c r="C117" s="243" t="s">
        <v>1193</v>
      </c>
      <c r="D117" s="244"/>
      <c r="J117" s="129">
        <f t="shared" si="1"/>
        <v>115</v>
      </c>
      <c r="K117" s="130" t="s">
        <v>1247</v>
      </c>
      <c r="L117" s="130"/>
      <c r="M117" s="130"/>
      <c r="N117" s="129"/>
      <c r="O117" s="131"/>
      <c r="P117" s="131"/>
      <c r="Q117" s="131"/>
      <c r="R117" s="130" t="s">
        <v>1246</v>
      </c>
      <c r="S117" s="130" t="s">
        <v>1247</v>
      </c>
      <c r="T117" s="131"/>
      <c r="U117" s="130"/>
      <c r="V117" s="131"/>
    </row>
    <row r="118" spans="1:22" ht="21.75" thickBot="1">
      <c r="A118" s="241" t="s">
        <v>1194</v>
      </c>
      <c r="B118" s="242" t="s">
        <v>1383</v>
      </c>
      <c r="C118" s="243" t="s">
        <v>1195</v>
      </c>
      <c r="D118" s="244"/>
      <c r="J118" s="129">
        <f t="shared" si="1"/>
        <v>116</v>
      </c>
      <c r="K118" s="130" t="s">
        <v>1251</v>
      </c>
      <c r="L118" s="130"/>
      <c r="M118" s="130"/>
      <c r="N118" s="129"/>
      <c r="O118" s="131"/>
      <c r="P118" s="131"/>
      <c r="Q118" s="131"/>
      <c r="R118" s="130" t="s">
        <v>1250</v>
      </c>
      <c r="S118" s="130" t="s">
        <v>1251</v>
      </c>
      <c r="T118" s="131"/>
      <c r="U118" s="130"/>
      <c r="V118" s="131"/>
    </row>
    <row r="119" spans="1:22" ht="21.75" thickBot="1">
      <c r="A119" s="241" t="s">
        <v>1196</v>
      </c>
      <c r="B119" s="242" t="s">
        <v>1383</v>
      </c>
      <c r="C119" s="243" t="s">
        <v>1197</v>
      </c>
      <c r="D119" s="244"/>
      <c r="J119" s="129">
        <f t="shared" si="1"/>
        <v>117</v>
      </c>
      <c r="K119" s="130" t="s">
        <v>1253</v>
      </c>
      <c r="L119" s="130"/>
      <c r="M119" s="130"/>
      <c r="N119" s="129"/>
      <c r="O119" s="131"/>
      <c r="P119" s="131"/>
      <c r="Q119" s="131"/>
      <c r="R119" s="130" t="s">
        <v>1252</v>
      </c>
      <c r="S119" s="130" t="s">
        <v>1253</v>
      </c>
      <c r="T119" s="131"/>
      <c r="U119" s="130"/>
      <c r="V119" s="131"/>
    </row>
    <row r="120" spans="1:22" ht="21.75" thickBot="1">
      <c r="A120" s="241" t="s">
        <v>1198</v>
      </c>
      <c r="B120" s="242" t="s">
        <v>1383</v>
      </c>
      <c r="C120" s="243" t="s">
        <v>1199</v>
      </c>
      <c r="D120" s="244"/>
      <c r="J120" s="129">
        <f t="shared" si="1"/>
        <v>118</v>
      </c>
      <c r="K120" s="130" t="s">
        <v>1255</v>
      </c>
      <c r="L120" s="130"/>
      <c r="M120" s="130"/>
      <c r="N120" s="129"/>
      <c r="O120" s="131"/>
      <c r="P120" s="131"/>
      <c r="Q120" s="131"/>
      <c r="R120" s="130" t="s">
        <v>1254</v>
      </c>
      <c r="S120" s="130" t="s">
        <v>1255</v>
      </c>
      <c r="T120" s="131"/>
      <c r="U120" s="130"/>
      <c r="V120" s="131"/>
    </row>
    <row r="121" spans="1:22" ht="21.75" thickBot="1">
      <c r="A121" s="241" t="s">
        <v>1200</v>
      </c>
      <c r="B121" s="242" t="s">
        <v>1383</v>
      </c>
      <c r="C121" s="243" t="s">
        <v>1201</v>
      </c>
      <c r="D121" s="244"/>
      <c r="J121" s="129">
        <f t="shared" si="1"/>
        <v>119</v>
      </c>
      <c r="K121" s="130" t="s">
        <v>1257</v>
      </c>
      <c r="L121" s="130"/>
      <c r="M121" s="130"/>
      <c r="N121" s="129"/>
      <c r="O121" s="131"/>
      <c r="P121" s="131"/>
      <c r="Q121" s="131"/>
      <c r="R121" s="130" t="s">
        <v>1256</v>
      </c>
      <c r="S121" s="130" t="s">
        <v>1257</v>
      </c>
      <c r="T121" s="131"/>
      <c r="U121" s="130"/>
      <c r="V121" s="131"/>
    </row>
    <row r="122" spans="1:22" ht="21.75" thickBot="1">
      <c r="A122" s="241" t="s">
        <v>1206</v>
      </c>
      <c r="B122" s="242" t="s">
        <v>1383</v>
      </c>
      <c r="C122" s="243" t="s">
        <v>1207</v>
      </c>
      <c r="D122" s="244"/>
      <c r="J122" s="129">
        <f t="shared" si="1"/>
        <v>120</v>
      </c>
      <c r="K122" s="130" t="s">
        <v>1259</v>
      </c>
      <c r="L122" s="130"/>
      <c r="M122" s="130"/>
      <c r="N122" s="129"/>
      <c r="O122" s="131"/>
      <c r="P122" s="131"/>
      <c r="Q122" s="131"/>
      <c r="R122" s="130" t="s">
        <v>1258</v>
      </c>
      <c r="S122" s="130" t="s">
        <v>1259</v>
      </c>
      <c r="T122" s="131"/>
      <c r="U122" s="130"/>
      <c r="V122" s="131"/>
    </row>
    <row r="123" spans="1:22" ht="21.75" thickBot="1">
      <c r="A123" s="241" t="s">
        <v>1208</v>
      </c>
      <c r="B123" s="242" t="s">
        <v>1383</v>
      </c>
      <c r="C123" s="243" t="s">
        <v>1209</v>
      </c>
      <c r="D123" s="244"/>
      <c r="J123" s="129">
        <f t="shared" si="1"/>
        <v>121</v>
      </c>
      <c r="K123" s="130" t="s">
        <v>1261</v>
      </c>
      <c r="L123" s="130"/>
      <c r="M123" s="130"/>
      <c r="N123" s="129"/>
      <c r="O123" s="131"/>
      <c r="P123" s="131"/>
      <c r="Q123" s="131"/>
      <c r="R123" s="130" t="s">
        <v>1260</v>
      </c>
      <c r="S123" s="130" t="s">
        <v>1261</v>
      </c>
      <c r="T123" s="131"/>
      <c r="U123" s="130"/>
      <c r="V123" s="131"/>
    </row>
    <row r="124" spans="1:22" ht="21.75" thickBot="1">
      <c r="A124" s="241" t="s">
        <v>1494</v>
      </c>
      <c r="B124" s="242" t="s">
        <v>1383</v>
      </c>
      <c r="C124" s="243" t="s">
        <v>1495</v>
      </c>
      <c r="D124" s="244"/>
      <c r="J124" s="129">
        <f t="shared" si="1"/>
        <v>122</v>
      </c>
      <c r="K124" s="130" t="s">
        <v>1496</v>
      </c>
      <c r="L124" s="130"/>
      <c r="M124" s="130"/>
      <c r="N124" s="129"/>
      <c r="O124" s="131"/>
      <c r="P124" s="131"/>
      <c r="Q124" s="131"/>
      <c r="R124" s="130" t="s">
        <v>1262</v>
      </c>
      <c r="S124" s="130" t="s">
        <v>1496</v>
      </c>
      <c r="T124" s="131"/>
      <c r="U124" s="130"/>
      <c r="V124" s="131"/>
    </row>
    <row r="125" spans="1:22" ht="21.75" thickBot="1">
      <c r="A125" s="241" t="s">
        <v>1210</v>
      </c>
      <c r="B125" s="242" t="s">
        <v>1383</v>
      </c>
      <c r="C125" s="243" t="s">
        <v>1211</v>
      </c>
      <c r="D125" s="244"/>
      <c r="J125" s="129">
        <f t="shared" si="1"/>
        <v>123</v>
      </c>
      <c r="K125" s="130" t="s">
        <v>1264</v>
      </c>
      <c r="L125" s="130"/>
      <c r="M125" s="130"/>
      <c r="N125" s="129"/>
      <c r="O125" s="131"/>
      <c r="P125" s="131"/>
      <c r="Q125" s="131"/>
      <c r="R125" s="130" t="s">
        <v>1263</v>
      </c>
      <c r="S125" s="130" t="s">
        <v>1264</v>
      </c>
      <c r="T125" s="131"/>
      <c r="U125" s="130"/>
      <c r="V125" s="131"/>
    </row>
    <row r="126" spans="1:22" ht="21.75" thickBot="1">
      <c r="A126" s="241" t="s">
        <v>1212</v>
      </c>
      <c r="B126" s="242" t="s">
        <v>1383</v>
      </c>
      <c r="C126" s="243" t="s">
        <v>1213</v>
      </c>
      <c r="D126" s="244"/>
      <c r="J126" s="129">
        <f t="shared" si="1"/>
        <v>124</v>
      </c>
      <c r="K126" s="130" t="s">
        <v>1266</v>
      </c>
      <c r="L126" s="130"/>
      <c r="M126" s="130"/>
      <c r="N126" s="129"/>
      <c r="O126" s="131"/>
      <c r="P126" s="131"/>
      <c r="Q126" s="131"/>
      <c r="R126" s="130" t="s">
        <v>1265</v>
      </c>
      <c r="S126" s="130" t="s">
        <v>1266</v>
      </c>
      <c r="T126" s="131"/>
      <c r="U126" s="130"/>
      <c r="V126" s="131"/>
    </row>
    <row r="127" spans="1:22" ht="21.75" thickBot="1">
      <c r="A127" s="241" t="s">
        <v>1214</v>
      </c>
      <c r="B127" s="242" t="s">
        <v>1383</v>
      </c>
      <c r="C127" s="243" t="s">
        <v>1215</v>
      </c>
      <c r="D127" s="244"/>
      <c r="J127" s="129">
        <f t="shared" si="1"/>
        <v>125</v>
      </c>
      <c r="K127" s="130" t="s">
        <v>1268</v>
      </c>
      <c r="L127" s="130"/>
      <c r="M127" s="130"/>
      <c r="N127" s="129"/>
      <c r="O127" s="131"/>
      <c r="P127" s="131"/>
      <c r="Q127" s="131"/>
      <c r="R127" s="130" t="s">
        <v>1267</v>
      </c>
      <c r="S127" s="130" t="s">
        <v>1268</v>
      </c>
      <c r="T127" s="131"/>
      <c r="U127" s="130"/>
      <c r="V127" s="131"/>
    </row>
    <row r="128" spans="1:22" ht="21.75" thickBot="1">
      <c r="A128" s="241" t="s">
        <v>1216</v>
      </c>
      <c r="B128" s="242" t="s">
        <v>1383</v>
      </c>
      <c r="C128" s="243" t="s">
        <v>1217</v>
      </c>
      <c r="D128" s="244"/>
      <c r="J128" s="129">
        <f t="shared" si="1"/>
        <v>126</v>
      </c>
      <c r="K128" s="130" t="s">
        <v>1270</v>
      </c>
      <c r="L128" s="130"/>
      <c r="M128" s="130"/>
      <c r="N128" s="129"/>
      <c r="O128" s="131"/>
      <c r="P128" s="131"/>
      <c r="Q128" s="131"/>
      <c r="R128" s="130" t="s">
        <v>1269</v>
      </c>
      <c r="S128" s="130" t="s">
        <v>1270</v>
      </c>
      <c r="T128" s="131"/>
      <c r="U128" s="130"/>
      <c r="V128" s="131"/>
    </row>
    <row r="129" spans="1:22" ht="21.75" thickBot="1">
      <c r="A129" s="241" t="s">
        <v>1218</v>
      </c>
      <c r="B129" s="242" t="s">
        <v>1383</v>
      </c>
      <c r="C129" s="243" t="s">
        <v>1219</v>
      </c>
      <c r="D129" s="244"/>
      <c r="J129" s="129">
        <f t="shared" si="1"/>
        <v>127</v>
      </c>
      <c r="K129" s="130" t="s">
        <v>1272</v>
      </c>
      <c r="L129" s="130"/>
      <c r="M129" s="130"/>
      <c r="N129" s="129"/>
      <c r="O129" s="131"/>
      <c r="P129" s="131"/>
      <c r="Q129" s="131"/>
      <c r="R129" s="130" t="s">
        <v>1271</v>
      </c>
      <c r="S129" s="130" t="s">
        <v>1272</v>
      </c>
      <c r="T129" s="131"/>
      <c r="U129" s="130"/>
      <c r="V129" s="131"/>
    </row>
    <row r="130" spans="1:22" ht="21.75" thickBot="1">
      <c r="A130" s="241" t="s">
        <v>1220</v>
      </c>
      <c r="B130" s="242" t="s">
        <v>1383</v>
      </c>
      <c r="C130" s="243" t="s">
        <v>1221</v>
      </c>
      <c r="D130" s="244"/>
      <c r="J130" s="129">
        <f t="shared" si="1"/>
        <v>128</v>
      </c>
      <c r="K130" s="130" t="s">
        <v>1274</v>
      </c>
      <c r="L130" s="130"/>
      <c r="M130" s="130"/>
      <c r="N130" s="129"/>
      <c r="O130" s="131"/>
      <c r="P130" s="131"/>
      <c r="Q130" s="131"/>
      <c r="R130" s="130" t="s">
        <v>1273</v>
      </c>
      <c r="S130" s="130" t="s">
        <v>1274</v>
      </c>
      <c r="T130" s="131"/>
      <c r="U130" s="130"/>
      <c r="V130" s="131"/>
    </row>
    <row r="131" spans="1:22" ht="21.75" thickBot="1">
      <c r="A131" s="241" t="s">
        <v>1222</v>
      </c>
      <c r="B131" s="242" t="s">
        <v>1383</v>
      </c>
      <c r="C131" s="243" t="s">
        <v>1223</v>
      </c>
      <c r="D131" s="244"/>
      <c r="J131" s="129">
        <f t="shared" si="1"/>
        <v>129</v>
      </c>
      <c r="K131" s="130" t="s">
        <v>1276</v>
      </c>
      <c r="L131" s="130"/>
      <c r="M131" s="130"/>
      <c r="N131" s="129"/>
      <c r="O131" s="131"/>
      <c r="P131" s="131"/>
      <c r="Q131" s="131"/>
      <c r="R131" s="130" t="s">
        <v>1275</v>
      </c>
      <c r="S131" s="130" t="s">
        <v>1276</v>
      </c>
      <c r="T131" s="131"/>
      <c r="U131" s="130"/>
      <c r="V131" s="131"/>
    </row>
    <row r="132" spans="1:22" ht="27.75" thickBot="1">
      <c r="A132" s="241" t="s">
        <v>1224</v>
      </c>
      <c r="B132" s="242" t="s">
        <v>1383</v>
      </c>
      <c r="C132" s="243" t="s">
        <v>1225</v>
      </c>
      <c r="D132" s="244"/>
      <c r="J132" s="129">
        <f t="shared" si="1"/>
        <v>130</v>
      </c>
      <c r="K132" s="130" t="s">
        <v>1278</v>
      </c>
      <c r="L132" s="130"/>
      <c r="M132" s="130"/>
      <c r="N132" s="129"/>
      <c r="O132" s="131"/>
      <c r="P132" s="131"/>
      <c r="Q132" s="131"/>
      <c r="R132" s="130" t="s">
        <v>1277</v>
      </c>
      <c r="S132" s="130" t="s">
        <v>1278</v>
      </c>
      <c r="T132" s="131"/>
      <c r="U132" s="130"/>
      <c r="V132" s="131"/>
    </row>
    <row r="133" spans="1:22" ht="21.75" thickBot="1">
      <c r="A133" s="241" t="s">
        <v>1226</v>
      </c>
      <c r="B133" s="242" t="s">
        <v>1383</v>
      </c>
      <c r="C133" s="243" t="s">
        <v>1227</v>
      </c>
      <c r="D133" s="244"/>
      <c r="J133" s="129">
        <f t="shared" ref="J133:J196" si="2">J132+1</f>
        <v>131</v>
      </c>
      <c r="K133" s="130" t="s">
        <v>1281</v>
      </c>
      <c r="L133" s="130"/>
      <c r="M133" s="130"/>
      <c r="N133" s="129"/>
      <c r="O133" s="131"/>
      <c r="P133" s="131"/>
      <c r="Q133" s="131"/>
      <c r="R133" s="130" t="s">
        <v>1280</v>
      </c>
      <c r="S133" s="130" t="s">
        <v>1281</v>
      </c>
      <c r="T133" s="131"/>
      <c r="U133" s="130"/>
      <c r="V133" s="131"/>
    </row>
    <row r="134" spans="1:22" ht="21.75" thickBot="1">
      <c r="A134" s="241" t="s">
        <v>1228</v>
      </c>
      <c r="B134" s="242" t="s">
        <v>1383</v>
      </c>
      <c r="C134" s="243" t="s">
        <v>1229</v>
      </c>
      <c r="D134" s="244"/>
      <c r="J134" s="129">
        <f t="shared" si="2"/>
        <v>132</v>
      </c>
      <c r="K134" s="130" t="s">
        <v>1283</v>
      </c>
      <c r="L134" s="130"/>
      <c r="M134" s="130"/>
      <c r="N134" s="129"/>
      <c r="O134" s="131"/>
      <c r="P134" s="131"/>
      <c r="Q134" s="131"/>
      <c r="R134" s="130" t="s">
        <v>1282</v>
      </c>
      <c r="S134" s="130" t="s">
        <v>1283</v>
      </c>
      <c r="T134" s="131"/>
      <c r="U134" s="130"/>
      <c r="V134" s="131"/>
    </row>
    <row r="135" spans="1:22" ht="21.75" thickBot="1">
      <c r="A135" s="241" t="s">
        <v>1230</v>
      </c>
      <c r="B135" s="242" t="s">
        <v>1383</v>
      </c>
      <c r="C135" s="243" t="s">
        <v>1231</v>
      </c>
      <c r="D135" s="244"/>
      <c r="J135" s="129">
        <f t="shared" si="2"/>
        <v>133</v>
      </c>
      <c r="K135" s="130" t="s">
        <v>1285</v>
      </c>
      <c r="L135" s="130"/>
      <c r="M135" s="130"/>
      <c r="N135" s="129"/>
      <c r="O135" s="131"/>
      <c r="P135" s="131"/>
      <c r="Q135" s="131"/>
      <c r="R135" s="130" t="s">
        <v>1284</v>
      </c>
      <c r="S135" s="130" t="s">
        <v>1285</v>
      </c>
      <c r="T135" s="131"/>
      <c r="U135" s="130"/>
      <c r="V135" s="131"/>
    </row>
    <row r="136" spans="1:22" ht="21.75" thickBot="1">
      <c r="A136" s="241" t="s">
        <v>1232</v>
      </c>
      <c r="B136" s="242" t="s">
        <v>1383</v>
      </c>
      <c r="C136" s="243" t="s">
        <v>1233</v>
      </c>
      <c r="D136" s="244"/>
      <c r="J136" s="129">
        <f t="shared" si="2"/>
        <v>134</v>
      </c>
      <c r="K136" s="130" t="s">
        <v>1287</v>
      </c>
      <c r="L136" s="130"/>
      <c r="M136" s="130"/>
      <c r="N136" s="129"/>
      <c r="O136" s="131"/>
      <c r="P136" s="131"/>
      <c r="Q136" s="131"/>
      <c r="R136" s="130" t="s">
        <v>1286</v>
      </c>
      <c r="S136" s="130" t="s">
        <v>1287</v>
      </c>
      <c r="T136" s="131"/>
      <c r="U136" s="130"/>
      <c r="V136" s="131"/>
    </row>
    <row r="137" spans="1:22" ht="21.75" thickBot="1">
      <c r="A137" s="241" t="s">
        <v>1236</v>
      </c>
      <c r="B137" s="242" t="s">
        <v>1383</v>
      </c>
      <c r="C137" s="243" t="s">
        <v>1237</v>
      </c>
      <c r="D137" s="244"/>
      <c r="J137" s="129">
        <f t="shared" si="2"/>
        <v>135</v>
      </c>
      <c r="K137" s="130" t="s">
        <v>1289</v>
      </c>
      <c r="L137" s="130"/>
      <c r="M137" s="130"/>
      <c r="N137" s="129"/>
      <c r="O137" s="131"/>
      <c r="P137" s="131"/>
      <c r="Q137" s="131"/>
      <c r="R137" s="130" t="s">
        <v>1288</v>
      </c>
      <c r="S137" s="130" t="s">
        <v>1289</v>
      </c>
      <c r="T137" s="131"/>
      <c r="U137" s="130"/>
      <c r="V137" s="131"/>
    </row>
    <row r="138" spans="1:22" ht="21.75" thickBot="1">
      <c r="A138" s="241" t="s">
        <v>1238</v>
      </c>
      <c r="B138" s="242" t="s">
        <v>1383</v>
      </c>
      <c r="C138" s="243" t="s">
        <v>1239</v>
      </c>
      <c r="D138" s="244"/>
      <c r="J138" s="129">
        <f t="shared" si="2"/>
        <v>136</v>
      </c>
      <c r="K138" s="130" t="s">
        <v>1291</v>
      </c>
      <c r="L138" s="130"/>
      <c r="M138" s="130"/>
      <c r="N138" s="129"/>
      <c r="O138" s="131"/>
      <c r="P138" s="131"/>
      <c r="Q138" s="131"/>
      <c r="R138" s="130" t="s">
        <v>1290</v>
      </c>
      <c r="S138" s="130" t="s">
        <v>1291</v>
      </c>
      <c r="T138" s="131"/>
      <c r="U138" s="130"/>
      <c r="V138" s="131"/>
    </row>
    <row r="139" spans="1:22" ht="21.75" thickBot="1">
      <c r="A139" s="241" t="s">
        <v>1242</v>
      </c>
      <c r="B139" s="242" t="s">
        <v>1383</v>
      </c>
      <c r="C139" s="243" t="s">
        <v>1243</v>
      </c>
      <c r="D139" s="244"/>
      <c r="J139" s="129">
        <f t="shared" si="2"/>
        <v>137</v>
      </c>
      <c r="K139" s="130" t="s">
        <v>1293</v>
      </c>
      <c r="L139" s="130"/>
      <c r="M139" s="130"/>
      <c r="N139" s="129"/>
      <c r="O139" s="131"/>
      <c r="P139" s="131"/>
      <c r="Q139" s="131"/>
      <c r="R139" s="130" t="s">
        <v>1292</v>
      </c>
      <c r="S139" s="130" t="s">
        <v>1293</v>
      </c>
      <c r="T139" s="131"/>
      <c r="U139" s="130"/>
      <c r="V139" s="131"/>
    </row>
    <row r="140" spans="1:22" ht="21.75" thickBot="1">
      <c r="A140" s="241" t="s">
        <v>1244</v>
      </c>
      <c r="B140" s="242" t="s">
        <v>1383</v>
      </c>
      <c r="C140" s="243" t="s">
        <v>1245</v>
      </c>
      <c r="D140" s="244"/>
      <c r="J140" s="129">
        <f t="shared" si="2"/>
        <v>138</v>
      </c>
      <c r="K140" s="130" t="s">
        <v>1295</v>
      </c>
      <c r="L140" s="130"/>
      <c r="M140" s="130"/>
      <c r="N140" s="129"/>
      <c r="O140" s="131"/>
      <c r="P140" s="131"/>
      <c r="Q140" s="131"/>
      <c r="R140" s="130" t="s">
        <v>1294</v>
      </c>
      <c r="S140" s="130" t="s">
        <v>1295</v>
      </c>
      <c r="T140" s="131"/>
      <c r="U140" s="130"/>
      <c r="V140" s="131"/>
    </row>
    <row r="141" spans="1:22" ht="21.75" thickBot="1">
      <c r="A141" s="241" t="s">
        <v>1246</v>
      </c>
      <c r="B141" s="242" t="s">
        <v>1383</v>
      </c>
      <c r="C141" s="243" t="s">
        <v>1247</v>
      </c>
      <c r="D141" s="244"/>
      <c r="J141" s="129">
        <f t="shared" si="2"/>
        <v>139</v>
      </c>
      <c r="K141" s="130" t="s">
        <v>1297</v>
      </c>
      <c r="L141" s="130"/>
      <c r="M141" s="130"/>
      <c r="N141" s="129"/>
      <c r="O141" s="131"/>
      <c r="P141" s="131"/>
      <c r="Q141" s="131"/>
      <c r="R141" s="130" t="s">
        <v>1296</v>
      </c>
      <c r="S141" s="130" t="s">
        <v>1297</v>
      </c>
      <c r="T141" s="131"/>
      <c r="U141" s="130"/>
      <c r="V141" s="131"/>
    </row>
    <row r="142" spans="1:22" ht="21.75" thickBot="1">
      <c r="A142" s="241" t="s">
        <v>1250</v>
      </c>
      <c r="B142" s="242" t="s">
        <v>1383</v>
      </c>
      <c r="C142" s="243" t="s">
        <v>1251</v>
      </c>
      <c r="D142" s="244"/>
      <c r="J142" s="129">
        <f t="shared" si="2"/>
        <v>140</v>
      </c>
      <c r="K142" s="130" t="s">
        <v>1298</v>
      </c>
      <c r="L142" s="130"/>
      <c r="M142" s="130"/>
      <c r="N142" s="129"/>
      <c r="O142" s="131"/>
      <c r="P142" s="131"/>
      <c r="Q142" s="131"/>
      <c r="R142" s="130" t="s">
        <v>293</v>
      </c>
      <c r="S142" s="130" t="s">
        <v>1298</v>
      </c>
      <c r="T142" s="131"/>
      <c r="U142" s="130"/>
      <c r="V142" s="131"/>
    </row>
    <row r="143" spans="1:22" ht="21.75" thickBot="1">
      <c r="A143" s="241" t="s">
        <v>1252</v>
      </c>
      <c r="B143" s="242" t="s">
        <v>1383</v>
      </c>
      <c r="C143" s="243" t="s">
        <v>1253</v>
      </c>
      <c r="D143" s="244"/>
      <c r="J143" s="129">
        <f t="shared" si="2"/>
        <v>141</v>
      </c>
      <c r="K143" s="130" t="s">
        <v>1300</v>
      </c>
      <c r="L143" s="130"/>
      <c r="M143" s="130"/>
      <c r="N143" s="129"/>
      <c r="O143" s="131"/>
      <c r="P143" s="131"/>
      <c r="Q143" s="131"/>
      <c r="R143" s="130" t="s">
        <v>1299</v>
      </c>
      <c r="S143" s="130" t="s">
        <v>1300</v>
      </c>
      <c r="T143" s="131"/>
      <c r="U143" s="130"/>
      <c r="V143" s="131"/>
    </row>
    <row r="144" spans="1:22" ht="21.75" thickBot="1">
      <c r="A144" s="241" t="s">
        <v>1254</v>
      </c>
      <c r="B144" s="242" t="s">
        <v>1383</v>
      </c>
      <c r="C144" s="243" t="s">
        <v>1255</v>
      </c>
      <c r="D144" s="244"/>
      <c r="J144" s="129">
        <f t="shared" si="2"/>
        <v>142</v>
      </c>
      <c r="K144" s="130" t="s">
        <v>1306</v>
      </c>
      <c r="L144" s="130"/>
      <c r="M144" s="130"/>
      <c r="N144" s="129"/>
      <c r="O144" s="131"/>
      <c r="P144" s="131"/>
      <c r="Q144" s="131"/>
      <c r="R144" s="130" t="s">
        <v>1305</v>
      </c>
      <c r="S144" s="130" t="s">
        <v>1306</v>
      </c>
      <c r="T144" s="131"/>
      <c r="U144" s="130"/>
      <c r="V144" s="131"/>
    </row>
    <row r="145" spans="1:22" ht="21.75" thickBot="1">
      <c r="A145" s="241" t="s">
        <v>1256</v>
      </c>
      <c r="B145" s="242" t="s">
        <v>1383</v>
      </c>
      <c r="C145" s="243" t="s">
        <v>1257</v>
      </c>
      <c r="D145" s="244"/>
      <c r="J145" s="129">
        <f t="shared" si="2"/>
        <v>143</v>
      </c>
      <c r="K145" s="130" t="s">
        <v>1312</v>
      </c>
      <c r="L145" s="130"/>
      <c r="M145" s="130"/>
      <c r="N145" s="129"/>
      <c r="O145" s="131"/>
      <c r="P145" s="131"/>
      <c r="Q145" s="131"/>
      <c r="R145" s="130" t="s">
        <v>1311</v>
      </c>
      <c r="S145" s="130" t="s">
        <v>1312</v>
      </c>
      <c r="T145" s="131"/>
      <c r="U145" s="130"/>
      <c r="V145" s="131"/>
    </row>
    <row r="146" spans="1:22" ht="21.75" thickBot="1">
      <c r="A146" s="241" t="s">
        <v>1258</v>
      </c>
      <c r="B146" s="242" t="s">
        <v>1383</v>
      </c>
      <c r="C146" s="243" t="s">
        <v>1259</v>
      </c>
      <c r="D146" s="244"/>
      <c r="J146" s="129">
        <f t="shared" si="2"/>
        <v>144</v>
      </c>
      <c r="K146" s="130" t="s">
        <v>1314</v>
      </c>
      <c r="L146" s="130"/>
      <c r="M146" s="130"/>
      <c r="N146" s="129"/>
      <c r="O146" s="131"/>
      <c r="P146" s="131"/>
      <c r="Q146" s="131"/>
      <c r="R146" s="130" t="s">
        <v>1313</v>
      </c>
      <c r="S146" s="130" t="s">
        <v>1314</v>
      </c>
      <c r="T146" s="131"/>
      <c r="U146" s="130"/>
      <c r="V146" s="131"/>
    </row>
    <row r="147" spans="1:22" ht="21.75" thickBot="1">
      <c r="A147" s="241" t="s">
        <v>1260</v>
      </c>
      <c r="B147" s="242" t="s">
        <v>1383</v>
      </c>
      <c r="C147" s="243" t="s">
        <v>1261</v>
      </c>
      <c r="D147" s="244"/>
      <c r="J147" s="129">
        <f t="shared" si="2"/>
        <v>145</v>
      </c>
      <c r="K147" s="130" t="s">
        <v>1316</v>
      </c>
      <c r="L147" s="130"/>
      <c r="M147" s="130"/>
      <c r="N147" s="129"/>
      <c r="O147" s="131"/>
      <c r="P147" s="131"/>
      <c r="Q147" s="131"/>
      <c r="R147" s="130" t="s">
        <v>1315</v>
      </c>
      <c r="S147" s="130" t="s">
        <v>1316</v>
      </c>
      <c r="T147" s="131"/>
      <c r="U147" s="130"/>
      <c r="V147" s="131"/>
    </row>
    <row r="148" spans="1:22" ht="21.75" thickBot="1">
      <c r="A148" s="241" t="s">
        <v>1262</v>
      </c>
      <c r="B148" s="242" t="s">
        <v>1383</v>
      </c>
      <c r="C148" s="243" t="s">
        <v>1496</v>
      </c>
      <c r="D148" s="244"/>
      <c r="J148" s="129">
        <f t="shared" si="2"/>
        <v>146</v>
      </c>
      <c r="K148" s="130" t="s">
        <v>1318</v>
      </c>
      <c r="L148" s="130"/>
      <c r="M148" s="130"/>
      <c r="N148" s="129"/>
      <c r="O148" s="131"/>
      <c r="P148" s="131"/>
      <c r="Q148" s="131"/>
      <c r="R148" s="130" t="s">
        <v>1317</v>
      </c>
      <c r="S148" s="130" t="s">
        <v>1318</v>
      </c>
      <c r="T148" s="131"/>
      <c r="U148" s="130"/>
      <c r="V148" s="131"/>
    </row>
    <row r="149" spans="1:22" ht="27.75" thickBot="1">
      <c r="A149" s="241" t="s">
        <v>1263</v>
      </c>
      <c r="B149" s="242" t="s">
        <v>1383</v>
      </c>
      <c r="C149" s="243" t="s">
        <v>1264</v>
      </c>
      <c r="D149" s="244"/>
      <c r="J149" s="129">
        <f t="shared" si="2"/>
        <v>147</v>
      </c>
      <c r="K149" s="130" t="s">
        <v>1320</v>
      </c>
      <c r="L149" s="130"/>
      <c r="M149" s="130"/>
      <c r="N149" s="129"/>
      <c r="O149" s="131"/>
      <c r="P149" s="131"/>
      <c r="Q149" s="131"/>
      <c r="R149" s="130" t="s">
        <v>1319</v>
      </c>
      <c r="S149" s="130" t="s">
        <v>1320</v>
      </c>
      <c r="T149" s="131"/>
      <c r="U149" s="130"/>
      <c r="V149" s="131"/>
    </row>
    <row r="150" spans="1:22" ht="21.75" thickBot="1">
      <c r="A150" s="241" t="s">
        <v>1265</v>
      </c>
      <c r="B150" s="242" t="s">
        <v>1383</v>
      </c>
      <c r="C150" s="243" t="s">
        <v>1266</v>
      </c>
      <c r="D150" s="244"/>
      <c r="J150" s="129">
        <f t="shared" si="2"/>
        <v>148</v>
      </c>
      <c r="K150" s="130" t="s">
        <v>1324</v>
      </c>
      <c r="L150" s="130"/>
      <c r="M150" s="130"/>
      <c r="N150" s="129"/>
      <c r="O150" s="131"/>
      <c r="P150" s="131"/>
      <c r="Q150" s="131"/>
      <c r="R150" s="130" t="s">
        <v>1323</v>
      </c>
      <c r="S150" s="130" t="s">
        <v>1324</v>
      </c>
      <c r="T150" s="131"/>
      <c r="U150" s="130"/>
      <c r="V150" s="131"/>
    </row>
    <row r="151" spans="1:22" ht="21.75" thickBot="1">
      <c r="A151" s="241" t="s">
        <v>1267</v>
      </c>
      <c r="B151" s="242" t="s">
        <v>1383</v>
      </c>
      <c r="C151" s="243" t="s">
        <v>1268</v>
      </c>
      <c r="D151" s="244"/>
      <c r="J151" s="129">
        <f t="shared" si="2"/>
        <v>149</v>
      </c>
      <c r="K151" s="130" t="s">
        <v>1326</v>
      </c>
      <c r="L151" s="130"/>
      <c r="M151" s="130"/>
      <c r="N151" s="129"/>
      <c r="O151" s="131"/>
      <c r="P151" s="131"/>
      <c r="Q151" s="131"/>
      <c r="R151" s="130" t="s">
        <v>1325</v>
      </c>
      <c r="S151" s="130" t="s">
        <v>1326</v>
      </c>
      <c r="T151" s="131"/>
      <c r="U151" s="130"/>
      <c r="V151" s="131"/>
    </row>
    <row r="152" spans="1:22" ht="21.75" thickBot="1">
      <c r="A152" s="241" t="s">
        <v>1269</v>
      </c>
      <c r="B152" s="242" t="s">
        <v>1383</v>
      </c>
      <c r="C152" s="243" t="s">
        <v>1270</v>
      </c>
      <c r="D152" s="244"/>
      <c r="J152" s="129">
        <f t="shared" si="2"/>
        <v>150</v>
      </c>
      <c r="K152" s="130" t="s">
        <v>1328</v>
      </c>
      <c r="L152" s="130"/>
      <c r="M152" s="130"/>
      <c r="N152" s="129"/>
      <c r="O152" s="131"/>
      <c r="P152" s="131"/>
      <c r="Q152" s="131"/>
      <c r="R152" s="130" t="s">
        <v>1327</v>
      </c>
      <c r="S152" s="130" t="s">
        <v>1328</v>
      </c>
      <c r="T152" s="131"/>
      <c r="U152" s="130"/>
      <c r="V152" s="131"/>
    </row>
    <row r="153" spans="1:22" ht="21.75" thickBot="1">
      <c r="A153" s="241" t="s">
        <v>1271</v>
      </c>
      <c r="B153" s="242" t="s">
        <v>1383</v>
      </c>
      <c r="C153" s="243" t="s">
        <v>1272</v>
      </c>
      <c r="D153" s="244"/>
      <c r="J153" s="129">
        <f t="shared" si="2"/>
        <v>151</v>
      </c>
      <c r="K153" s="130" t="s">
        <v>1330</v>
      </c>
      <c r="L153" s="130"/>
      <c r="M153" s="130"/>
      <c r="N153" s="129"/>
      <c r="O153" s="131"/>
      <c r="P153" s="131"/>
      <c r="Q153" s="131"/>
      <c r="R153" s="130" t="s">
        <v>1329</v>
      </c>
      <c r="S153" s="130" t="s">
        <v>1330</v>
      </c>
      <c r="T153" s="131"/>
      <c r="U153" s="130"/>
      <c r="V153" s="131"/>
    </row>
    <row r="154" spans="1:22" ht="21.75" thickBot="1">
      <c r="A154" s="241" t="s">
        <v>1273</v>
      </c>
      <c r="B154" s="242" t="s">
        <v>1383</v>
      </c>
      <c r="C154" s="243" t="s">
        <v>1274</v>
      </c>
      <c r="D154" s="244"/>
      <c r="J154" s="129">
        <f t="shared" si="2"/>
        <v>152</v>
      </c>
      <c r="K154" s="130" t="s">
        <v>1336</v>
      </c>
      <c r="L154" s="130"/>
      <c r="M154" s="130"/>
      <c r="N154" s="129"/>
      <c r="O154" s="131"/>
      <c r="P154" s="131"/>
      <c r="Q154" s="131"/>
      <c r="R154" s="130" t="s">
        <v>1335</v>
      </c>
      <c r="S154" s="130" t="s">
        <v>1336</v>
      </c>
      <c r="T154" s="131"/>
      <c r="U154" s="130"/>
      <c r="V154" s="131"/>
    </row>
    <row r="155" spans="1:22" ht="21.75" thickBot="1">
      <c r="A155" s="241" t="s">
        <v>1275</v>
      </c>
      <c r="B155" s="242" t="s">
        <v>1383</v>
      </c>
      <c r="C155" s="243" t="s">
        <v>1276</v>
      </c>
      <c r="D155" s="244"/>
      <c r="J155" s="129">
        <f t="shared" si="2"/>
        <v>153</v>
      </c>
      <c r="K155" s="130" t="s">
        <v>1340</v>
      </c>
      <c r="L155" s="130"/>
      <c r="M155" s="130"/>
      <c r="N155" s="129"/>
      <c r="O155" s="131"/>
      <c r="P155" s="131"/>
      <c r="Q155" s="131"/>
      <c r="R155" s="130" t="s">
        <v>1339</v>
      </c>
      <c r="S155" s="130" t="s">
        <v>1340</v>
      </c>
      <c r="T155" s="131"/>
      <c r="U155" s="130"/>
      <c r="V155" s="131"/>
    </row>
    <row r="156" spans="1:22" ht="21.75" thickBot="1">
      <c r="A156" s="241" t="s">
        <v>1277</v>
      </c>
      <c r="B156" s="242" t="s">
        <v>1383</v>
      </c>
      <c r="C156" s="243" t="s">
        <v>1278</v>
      </c>
      <c r="D156" s="244"/>
      <c r="J156" s="129">
        <f t="shared" si="2"/>
        <v>154</v>
      </c>
      <c r="K156" s="130" t="s">
        <v>1341</v>
      </c>
      <c r="L156" s="130"/>
      <c r="M156" s="130"/>
      <c r="N156" s="129"/>
      <c r="O156" s="131"/>
      <c r="P156" s="131"/>
      <c r="Q156" s="131"/>
      <c r="R156" s="130" t="s">
        <v>294</v>
      </c>
      <c r="S156" s="130" t="s">
        <v>1341</v>
      </c>
      <c r="T156" s="131"/>
      <c r="U156" s="130"/>
      <c r="V156" s="131"/>
    </row>
    <row r="157" spans="1:22" ht="21.75" thickBot="1">
      <c r="A157" s="241" t="s">
        <v>1280</v>
      </c>
      <c r="B157" s="242" t="s">
        <v>1383</v>
      </c>
      <c r="C157" s="243" t="s">
        <v>1281</v>
      </c>
      <c r="D157" s="244"/>
      <c r="J157" s="129">
        <f t="shared" si="2"/>
        <v>155</v>
      </c>
      <c r="K157" s="130" t="s">
        <v>1345</v>
      </c>
      <c r="L157" s="130"/>
      <c r="M157" s="130"/>
      <c r="N157" s="129"/>
      <c r="O157" s="131"/>
      <c r="P157" s="131"/>
      <c r="Q157" s="131"/>
      <c r="R157" s="130" t="s">
        <v>1344</v>
      </c>
      <c r="S157" s="130" t="s">
        <v>1345</v>
      </c>
      <c r="T157" s="131"/>
      <c r="U157" s="130"/>
      <c r="V157" s="131"/>
    </row>
    <row r="158" spans="1:22" ht="21.75" thickBot="1">
      <c r="A158" s="241" t="s">
        <v>1282</v>
      </c>
      <c r="B158" s="242" t="s">
        <v>1383</v>
      </c>
      <c r="C158" s="243" t="s">
        <v>1283</v>
      </c>
      <c r="D158" s="244"/>
      <c r="J158" s="129">
        <f t="shared" si="2"/>
        <v>156</v>
      </c>
      <c r="K158" s="130" t="s">
        <v>1347</v>
      </c>
      <c r="L158" s="130"/>
      <c r="M158" s="130"/>
      <c r="N158" s="129"/>
      <c r="O158" s="131"/>
      <c r="P158" s="131"/>
      <c r="Q158" s="131"/>
      <c r="R158" s="130" t="s">
        <v>1346</v>
      </c>
      <c r="S158" s="130" t="s">
        <v>1347</v>
      </c>
      <c r="T158" s="131"/>
      <c r="U158" s="130"/>
      <c r="V158" s="131"/>
    </row>
    <row r="159" spans="1:22" ht="21.75" thickBot="1">
      <c r="A159" s="241" t="s">
        <v>1284</v>
      </c>
      <c r="B159" s="242" t="s">
        <v>1383</v>
      </c>
      <c r="C159" s="243" t="s">
        <v>1285</v>
      </c>
      <c r="D159" s="244"/>
      <c r="J159" s="129">
        <f t="shared" si="2"/>
        <v>157</v>
      </c>
      <c r="K159" s="130" t="s">
        <v>1349</v>
      </c>
      <c r="L159" s="130"/>
      <c r="M159" s="130"/>
      <c r="N159" s="129"/>
      <c r="O159" s="131"/>
      <c r="P159" s="131"/>
      <c r="Q159" s="131"/>
      <c r="R159" s="130" t="s">
        <v>1348</v>
      </c>
      <c r="S159" s="130" t="s">
        <v>1349</v>
      </c>
      <c r="T159" s="131"/>
      <c r="U159" s="130"/>
      <c r="V159" s="131"/>
    </row>
    <row r="160" spans="1:22" ht="21.75" thickBot="1">
      <c r="A160" s="241" t="s">
        <v>1286</v>
      </c>
      <c r="B160" s="242" t="s">
        <v>1383</v>
      </c>
      <c r="C160" s="243" t="s">
        <v>1287</v>
      </c>
      <c r="D160" s="244"/>
      <c r="J160" s="129">
        <f t="shared" si="2"/>
        <v>158</v>
      </c>
      <c r="K160" s="130" t="s">
        <v>1351</v>
      </c>
      <c r="L160" s="130"/>
      <c r="M160" s="130"/>
      <c r="N160" s="129"/>
      <c r="O160" s="131"/>
      <c r="P160" s="131"/>
      <c r="Q160" s="131"/>
      <c r="R160" s="130" t="s">
        <v>1350</v>
      </c>
      <c r="S160" s="130" t="s">
        <v>1351</v>
      </c>
      <c r="T160" s="131"/>
      <c r="U160" s="130"/>
      <c r="V160" s="131"/>
    </row>
    <row r="161" spans="1:22" ht="21.75" thickBot="1">
      <c r="A161" s="241" t="s">
        <v>1288</v>
      </c>
      <c r="B161" s="242" t="s">
        <v>1383</v>
      </c>
      <c r="C161" s="243" t="s">
        <v>1289</v>
      </c>
      <c r="D161" s="244"/>
      <c r="J161" s="129">
        <f t="shared" si="2"/>
        <v>159</v>
      </c>
      <c r="K161" s="130" t="s">
        <v>1353</v>
      </c>
      <c r="L161" s="130"/>
      <c r="M161" s="130"/>
      <c r="N161" s="129"/>
      <c r="O161" s="131"/>
      <c r="P161" s="131"/>
      <c r="Q161" s="131"/>
      <c r="R161" s="130" t="s">
        <v>1352</v>
      </c>
      <c r="S161" s="130" t="s">
        <v>1353</v>
      </c>
      <c r="T161" s="131"/>
      <c r="U161" s="130"/>
      <c r="V161" s="131"/>
    </row>
    <row r="162" spans="1:22" ht="21.75" thickBot="1">
      <c r="A162" s="241" t="s">
        <v>1290</v>
      </c>
      <c r="B162" s="242" t="s">
        <v>1383</v>
      </c>
      <c r="C162" s="243" t="s">
        <v>1291</v>
      </c>
      <c r="D162" s="244"/>
      <c r="J162" s="129">
        <f t="shared" si="2"/>
        <v>160</v>
      </c>
      <c r="K162" s="130" t="s">
        <v>1355</v>
      </c>
      <c r="L162" s="130"/>
      <c r="M162" s="130"/>
      <c r="N162" s="129"/>
      <c r="O162" s="131"/>
      <c r="P162" s="131"/>
      <c r="Q162" s="131"/>
      <c r="R162" s="130" t="s">
        <v>1354</v>
      </c>
      <c r="S162" s="130" t="s">
        <v>1355</v>
      </c>
      <c r="T162" s="131"/>
      <c r="U162" s="130"/>
      <c r="V162" s="131"/>
    </row>
    <row r="163" spans="1:22" ht="21.75" thickBot="1">
      <c r="A163" s="241" t="s">
        <v>1292</v>
      </c>
      <c r="B163" s="242" t="s">
        <v>1383</v>
      </c>
      <c r="C163" s="243" t="s">
        <v>1293</v>
      </c>
      <c r="D163" s="244"/>
      <c r="J163" s="129">
        <f t="shared" si="2"/>
        <v>161</v>
      </c>
      <c r="K163" s="130" t="s">
        <v>1357</v>
      </c>
      <c r="L163" s="130"/>
      <c r="M163" s="130"/>
      <c r="N163" s="129"/>
      <c r="O163" s="131"/>
      <c r="P163" s="131"/>
      <c r="Q163" s="131"/>
      <c r="R163" s="130" t="s">
        <v>1356</v>
      </c>
      <c r="S163" s="130" t="s">
        <v>1357</v>
      </c>
      <c r="T163" s="131"/>
      <c r="U163" s="130"/>
      <c r="V163" s="131"/>
    </row>
    <row r="164" spans="1:22" ht="21.75" thickBot="1">
      <c r="A164" s="241" t="s">
        <v>1294</v>
      </c>
      <c r="B164" s="242" t="s">
        <v>1383</v>
      </c>
      <c r="C164" s="243" t="s">
        <v>1295</v>
      </c>
      <c r="D164" s="244"/>
      <c r="J164" s="129">
        <f t="shared" si="2"/>
        <v>162</v>
      </c>
      <c r="K164" s="130" t="s">
        <v>1359</v>
      </c>
      <c r="L164" s="130"/>
      <c r="M164" s="130"/>
      <c r="N164" s="129"/>
      <c r="O164" s="131"/>
      <c r="P164" s="131"/>
      <c r="Q164" s="131"/>
      <c r="R164" s="130" t="s">
        <v>1358</v>
      </c>
      <c r="S164" s="130" t="s">
        <v>1359</v>
      </c>
      <c r="T164" s="131"/>
      <c r="U164" s="130"/>
      <c r="V164" s="131"/>
    </row>
    <row r="165" spans="1:22" ht="21.75" thickBot="1">
      <c r="A165" s="241" t="s">
        <v>1296</v>
      </c>
      <c r="B165" s="242" t="s">
        <v>1383</v>
      </c>
      <c r="C165" s="243" t="s">
        <v>1297</v>
      </c>
      <c r="D165" s="244"/>
      <c r="J165" s="129">
        <f t="shared" si="2"/>
        <v>163</v>
      </c>
      <c r="K165" s="130" t="s">
        <v>1361</v>
      </c>
      <c r="L165" s="130"/>
      <c r="M165" s="130"/>
      <c r="N165" s="129"/>
      <c r="O165" s="131"/>
      <c r="P165" s="131"/>
      <c r="Q165" s="131"/>
      <c r="R165" s="130" t="s">
        <v>1360</v>
      </c>
      <c r="S165" s="130" t="s">
        <v>1361</v>
      </c>
      <c r="T165" s="131"/>
      <c r="U165" s="130"/>
      <c r="V165" s="131"/>
    </row>
    <row r="166" spans="1:22" ht="21.75" thickBot="1">
      <c r="A166" s="241" t="s">
        <v>293</v>
      </c>
      <c r="B166" s="242" t="s">
        <v>1383</v>
      </c>
      <c r="C166" s="243" t="s">
        <v>1298</v>
      </c>
      <c r="D166" s="244"/>
      <c r="J166" s="129">
        <f t="shared" si="2"/>
        <v>164</v>
      </c>
      <c r="K166" s="130" t="s">
        <v>1362</v>
      </c>
      <c r="L166" s="130"/>
      <c r="M166" s="130"/>
      <c r="N166" s="129"/>
      <c r="O166" s="131"/>
      <c r="P166" s="131"/>
      <c r="Q166" s="131"/>
      <c r="R166" s="130" t="s">
        <v>295</v>
      </c>
      <c r="S166" s="130" t="s">
        <v>1362</v>
      </c>
      <c r="T166" s="131"/>
      <c r="U166" s="130"/>
      <c r="V166" s="131"/>
    </row>
    <row r="167" spans="1:22" ht="21.75" thickBot="1">
      <c r="A167" s="241" t="s">
        <v>1299</v>
      </c>
      <c r="B167" s="242" t="s">
        <v>1383</v>
      </c>
      <c r="C167" s="243" t="s">
        <v>1300</v>
      </c>
      <c r="D167" s="244"/>
      <c r="J167" s="129">
        <f t="shared" si="2"/>
        <v>165</v>
      </c>
      <c r="K167" s="130" t="s">
        <v>1364</v>
      </c>
      <c r="L167" s="130"/>
      <c r="M167" s="130"/>
      <c r="N167" s="129"/>
      <c r="O167" s="131"/>
      <c r="P167" s="131"/>
      <c r="Q167" s="131"/>
      <c r="R167" s="130" t="s">
        <v>1363</v>
      </c>
      <c r="S167" s="130" t="s">
        <v>1364</v>
      </c>
      <c r="T167" s="131"/>
      <c r="U167" s="130"/>
      <c r="V167" s="131"/>
    </row>
    <row r="168" spans="1:22" ht="21.75" thickBot="1">
      <c r="A168" s="241" t="s">
        <v>1305</v>
      </c>
      <c r="B168" s="242" t="s">
        <v>1383</v>
      </c>
      <c r="C168" s="243" t="s">
        <v>1306</v>
      </c>
      <c r="D168" s="244"/>
      <c r="J168" s="129">
        <f t="shared" si="2"/>
        <v>166</v>
      </c>
      <c r="K168" s="130" t="s">
        <v>1366</v>
      </c>
      <c r="L168" s="130"/>
      <c r="M168" s="130"/>
      <c r="N168" s="129"/>
      <c r="O168" s="131"/>
      <c r="P168" s="131"/>
      <c r="Q168" s="131"/>
      <c r="R168" s="130" t="s">
        <v>1365</v>
      </c>
      <c r="S168" s="130" t="s">
        <v>1366</v>
      </c>
      <c r="T168" s="131"/>
      <c r="U168" s="130"/>
      <c r="V168" s="131"/>
    </row>
    <row r="169" spans="1:22" ht="21.75" thickBot="1">
      <c r="A169" s="241" t="s">
        <v>1311</v>
      </c>
      <c r="B169" s="242" t="s">
        <v>1383</v>
      </c>
      <c r="C169" s="243" t="s">
        <v>1312</v>
      </c>
      <c r="D169" s="244"/>
      <c r="J169" s="129">
        <f t="shared" si="2"/>
        <v>167</v>
      </c>
      <c r="K169" s="130" t="s">
        <v>1368</v>
      </c>
      <c r="L169" s="130"/>
      <c r="M169" s="130"/>
      <c r="N169" s="129"/>
      <c r="O169" s="131"/>
      <c r="P169" s="131"/>
      <c r="Q169" s="131"/>
      <c r="R169" s="130" t="s">
        <v>1367</v>
      </c>
      <c r="S169" s="130" t="s">
        <v>1368</v>
      </c>
      <c r="T169" s="131"/>
      <c r="U169" s="130"/>
      <c r="V169" s="131"/>
    </row>
    <row r="170" spans="1:22" ht="21.75" thickBot="1">
      <c r="A170" s="241" t="s">
        <v>1313</v>
      </c>
      <c r="B170" s="242" t="s">
        <v>1383</v>
      </c>
      <c r="C170" s="243" t="s">
        <v>1314</v>
      </c>
      <c r="D170" s="244"/>
      <c r="J170" s="129">
        <f t="shared" si="2"/>
        <v>168</v>
      </c>
      <c r="K170" s="130" t="s">
        <v>1370</v>
      </c>
      <c r="L170" s="130"/>
      <c r="M170" s="130"/>
      <c r="N170" s="129"/>
      <c r="O170" s="131"/>
      <c r="P170" s="131"/>
      <c r="Q170" s="131"/>
      <c r="R170" s="130" t="s">
        <v>1369</v>
      </c>
      <c r="S170" s="130" t="s">
        <v>1370</v>
      </c>
      <c r="T170" s="131"/>
      <c r="U170" s="130"/>
      <c r="V170" s="131"/>
    </row>
    <row r="171" spans="1:22" ht="27.75" thickBot="1">
      <c r="A171" s="241" t="s">
        <v>1315</v>
      </c>
      <c r="B171" s="242" t="s">
        <v>1383</v>
      </c>
      <c r="C171" s="243" t="s">
        <v>1316</v>
      </c>
      <c r="D171" s="244"/>
      <c r="J171" s="129">
        <f t="shared" si="2"/>
        <v>169</v>
      </c>
      <c r="K171" s="130" t="s">
        <v>1372</v>
      </c>
      <c r="L171" s="130"/>
      <c r="M171" s="130"/>
      <c r="N171" s="129"/>
      <c r="O171" s="131"/>
      <c r="P171" s="131"/>
      <c r="Q171" s="131"/>
      <c r="R171" s="130" t="s">
        <v>1371</v>
      </c>
      <c r="S171" s="130" t="s">
        <v>1372</v>
      </c>
      <c r="T171" s="131"/>
      <c r="U171" s="130"/>
      <c r="V171" s="131"/>
    </row>
    <row r="172" spans="1:22" ht="21.75" thickBot="1">
      <c r="A172" s="241" t="s">
        <v>1317</v>
      </c>
      <c r="B172" s="242" t="s">
        <v>1383</v>
      </c>
      <c r="C172" s="243" t="s">
        <v>1318</v>
      </c>
      <c r="D172" s="244"/>
      <c r="J172" s="129">
        <f t="shared" si="2"/>
        <v>170</v>
      </c>
      <c r="K172" s="130" t="s">
        <v>1373</v>
      </c>
      <c r="L172" s="130"/>
      <c r="M172" s="130"/>
      <c r="N172" s="129"/>
      <c r="O172" s="131"/>
      <c r="P172" s="131"/>
      <c r="Q172" s="131"/>
      <c r="R172" s="130" t="s">
        <v>1035</v>
      </c>
      <c r="S172" s="130" t="s">
        <v>1373</v>
      </c>
      <c r="T172" s="131"/>
      <c r="U172" s="130"/>
      <c r="V172" s="131"/>
    </row>
    <row r="173" spans="1:22" ht="21.75" thickBot="1">
      <c r="A173" s="241" t="s">
        <v>1319</v>
      </c>
      <c r="B173" s="242" t="s">
        <v>1383</v>
      </c>
      <c r="C173" s="243" t="s">
        <v>1320</v>
      </c>
      <c r="D173" s="244"/>
      <c r="J173" s="129">
        <f t="shared" si="2"/>
        <v>171</v>
      </c>
      <c r="K173" s="130" t="s">
        <v>1375</v>
      </c>
      <c r="L173" s="130"/>
      <c r="M173" s="130"/>
      <c r="N173" s="129"/>
      <c r="O173" s="131"/>
      <c r="P173" s="131"/>
      <c r="Q173" s="131"/>
      <c r="R173" s="130" t="s">
        <v>1374</v>
      </c>
      <c r="S173" s="130" t="s">
        <v>1375</v>
      </c>
      <c r="T173" s="131"/>
      <c r="U173" s="130"/>
      <c r="V173" s="131"/>
    </row>
    <row r="174" spans="1:22" ht="27.75" thickBot="1">
      <c r="A174" s="241" t="s">
        <v>1323</v>
      </c>
      <c r="B174" s="242" t="s">
        <v>1383</v>
      </c>
      <c r="C174" s="243" t="s">
        <v>1324</v>
      </c>
      <c r="D174" s="244"/>
      <c r="J174" s="129">
        <f t="shared" si="2"/>
        <v>172</v>
      </c>
      <c r="K174" s="130" t="s">
        <v>1378</v>
      </c>
      <c r="L174" s="130"/>
      <c r="M174" s="130"/>
      <c r="N174" s="129"/>
      <c r="O174" s="131"/>
      <c r="P174" s="131"/>
      <c r="Q174" s="131"/>
      <c r="R174" s="130" t="s">
        <v>296</v>
      </c>
      <c r="S174" s="130" t="s">
        <v>1378</v>
      </c>
      <c r="T174" s="131"/>
      <c r="U174" s="130"/>
      <c r="V174" s="131"/>
    </row>
    <row r="175" spans="1:22" ht="27.75" thickBot="1">
      <c r="A175" s="241" t="s">
        <v>1325</v>
      </c>
      <c r="B175" s="242" t="s">
        <v>1383</v>
      </c>
      <c r="C175" s="243" t="s">
        <v>1326</v>
      </c>
      <c r="D175" s="244"/>
      <c r="J175" s="129">
        <f t="shared" si="2"/>
        <v>173</v>
      </c>
      <c r="K175" s="130" t="s">
        <v>1498</v>
      </c>
      <c r="L175" s="130"/>
      <c r="M175" s="130"/>
      <c r="N175" s="129"/>
      <c r="O175" s="131"/>
      <c r="P175" s="131"/>
      <c r="Q175" s="131"/>
      <c r="R175" s="130" t="s">
        <v>1497</v>
      </c>
      <c r="S175" s="130" t="s">
        <v>1498</v>
      </c>
      <c r="T175" s="131"/>
      <c r="U175" s="130"/>
      <c r="V175" s="131"/>
    </row>
    <row r="176" spans="1:22" ht="21.75" thickBot="1">
      <c r="A176" s="241" t="s">
        <v>1327</v>
      </c>
      <c r="B176" s="242" t="s">
        <v>1383</v>
      </c>
      <c r="C176" s="243" t="s">
        <v>1328</v>
      </c>
      <c r="D176" s="244"/>
      <c r="J176" s="129">
        <f t="shared" si="2"/>
        <v>174</v>
      </c>
      <c r="K176" s="130" t="s">
        <v>1500</v>
      </c>
      <c r="L176" s="130"/>
      <c r="M176" s="130"/>
      <c r="N176" s="129"/>
      <c r="O176" s="131"/>
      <c r="P176" s="131"/>
      <c r="Q176" s="131"/>
      <c r="R176" s="130" t="s">
        <v>1499</v>
      </c>
      <c r="S176" s="130" t="s">
        <v>1500</v>
      </c>
      <c r="T176" s="131"/>
      <c r="U176" s="130"/>
      <c r="V176" s="131"/>
    </row>
    <row r="177" spans="1:22" ht="21.75" thickBot="1">
      <c r="A177" s="241" t="s">
        <v>1329</v>
      </c>
      <c r="B177" s="242" t="s">
        <v>1383</v>
      </c>
      <c r="C177" s="243" t="s">
        <v>1330</v>
      </c>
      <c r="D177" s="244"/>
      <c r="J177" s="129">
        <f t="shared" si="2"/>
        <v>175</v>
      </c>
      <c r="K177" s="130" t="s">
        <v>1502</v>
      </c>
      <c r="L177" s="130"/>
      <c r="M177" s="130"/>
      <c r="N177" s="129"/>
      <c r="O177" s="131"/>
      <c r="P177" s="131"/>
      <c r="Q177" s="131"/>
      <c r="R177" s="130" t="s">
        <v>1501</v>
      </c>
      <c r="S177" s="130" t="s">
        <v>1502</v>
      </c>
      <c r="T177" s="131"/>
      <c r="U177" s="130"/>
      <c r="V177" s="131"/>
    </row>
    <row r="178" spans="1:22" ht="21.75" thickBot="1">
      <c r="A178" s="241" t="s">
        <v>1335</v>
      </c>
      <c r="B178" s="242" t="s">
        <v>1383</v>
      </c>
      <c r="C178" s="243" t="s">
        <v>1336</v>
      </c>
      <c r="D178" s="244"/>
      <c r="J178" s="129">
        <f t="shared" si="2"/>
        <v>176</v>
      </c>
      <c r="K178" s="130" t="s">
        <v>1504</v>
      </c>
      <c r="L178" s="130"/>
      <c r="M178" s="130"/>
      <c r="N178" s="129"/>
      <c r="O178" s="131"/>
      <c r="P178" s="131"/>
      <c r="Q178" s="131"/>
      <c r="R178" s="130" t="s">
        <v>1503</v>
      </c>
      <c r="S178" s="130" t="s">
        <v>1504</v>
      </c>
      <c r="T178" s="131"/>
      <c r="U178" s="130"/>
      <c r="V178" s="131"/>
    </row>
    <row r="179" spans="1:22" ht="21.75" thickBot="1">
      <c r="A179" s="241" t="s">
        <v>1339</v>
      </c>
      <c r="B179" s="242" t="s">
        <v>1383</v>
      </c>
      <c r="C179" s="243" t="s">
        <v>1340</v>
      </c>
      <c r="D179" s="244"/>
      <c r="J179" s="129">
        <f t="shared" si="2"/>
        <v>177</v>
      </c>
      <c r="K179" s="130" t="s">
        <v>1506</v>
      </c>
      <c r="L179" s="130"/>
      <c r="M179" s="130"/>
      <c r="N179" s="129"/>
      <c r="O179" s="131"/>
      <c r="P179" s="131"/>
      <c r="Q179" s="131"/>
      <c r="R179" s="130" t="s">
        <v>1505</v>
      </c>
      <c r="S179" s="130" t="s">
        <v>1506</v>
      </c>
      <c r="T179" s="131"/>
      <c r="U179" s="130"/>
      <c r="V179" s="131"/>
    </row>
    <row r="180" spans="1:22" ht="27.75" thickBot="1">
      <c r="A180" s="241" t="s">
        <v>294</v>
      </c>
      <c r="B180" s="242" t="s">
        <v>1383</v>
      </c>
      <c r="C180" s="243" t="s">
        <v>1341</v>
      </c>
      <c r="D180" s="244"/>
      <c r="J180" s="129">
        <f t="shared" si="2"/>
        <v>178</v>
      </c>
      <c r="K180" s="130" t="s">
        <v>1508</v>
      </c>
      <c r="L180" s="130"/>
      <c r="M180" s="130"/>
      <c r="N180" s="129"/>
      <c r="O180" s="131"/>
      <c r="P180" s="131"/>
      <c r="Q180" s="131"/>
      <c r="R180" s="130" t="s">
        <v>1507</v>
      </c>
      <c r="S180" s="130" t="s">
        <v>1508</v>
      </c>
      <c r="T180" s="131"/>
      <c r="U180" s="130"/>
      <c r="V180" s="131"/>
    </row>
    <row r="181" spans="1:22" ht="21.75" thickBot="1">
      <c r="A181" s="241" t="s">
        <v>1344</v>
      </c>
      <c r="B181" s="242" t="s">
        <v>1383</v>
      </c>
      <c r="C181" s="243" t="s">
        <v>1345</v>
      </c>
      <c r="D181" s="244"/>
      <c r="J181" s="129">
        <f t="shared" si="2"/>
        <v>179</v>
      </c>
      <c r="K181" s="130" t="s">
        <v>1510</v>
      </c>
      <c r="L181" s="130"/>
      <c r="M181" s="130"/>
      <c r="N181" s="129"/>
      <c r="O181" s="131"/>
      <c r="P181" s="131"/>
      <c r="Q181" s="131"/>
      <c r="R181" s="130" t="s">
        <v>1509</v>
      </c>
      <c r="S181" s="130" t="s">
        <v>1510</v>
      </c>
      <c r="T181" s="131"/>
      <c r="U181" s="130"/>
      <c r="V181" s="131"/>
    </row>
    <row r="182" spans="1:22" ht="21.75" thickBot="1">
      <c r="A182" s="241" t="s">
        <v>1346</v>
      </c>
      <c r="B182" s="242" t="s">
        <v>1383</v>
      </c>
      <c r="C182" s="243" t="s">
        <v>1347</v>
      </c>
      <c r="D182" s="244"/>
      <c r="J182" s="129">
        <f t="shared" si="2"/>
        <v>180</v>
      </c>
      <c r="K182" s="130" t="s">
        <v>1512</v>
      </c>
      <c r="L182" s="130"/>
      <c r="M182" s="130"/>
      <c r="N182" s="129"/>
      <c r="O182" s="131"/>
      <c r="P182" s="131"/>
      <c r="Q182" s="131"/>
      <c r="R182" s="130" t="s">
        <v>1511</v>
      </c>
      <c r="S182" s="130" t="s">
        <v>1512</v>
      </c>
      <c r="T182" s="131"/>
      <c r="U182" s="130"/>
      <c r="V182" s="131"/>
    </row>
    <row r="183" spans="1:22" ht="21.75" thickBot="1">
      <c r="A183" s="241" t="s">
        <v>1348</v>
      </c>
      <c r="B183" s="242" t="s">
        <v>1383</v>
      </c>
      <c r="C183" s="243" t="s">
        <v>1349</v>
      </c>
      <c r="D183" s="244"/>
      <c r="J183" s="129">
        <f t="shared" si="2"/>
        <v>181</v>
      </c>
      <c r="K183" s="130" t="s">
        <v>1514</v>
      </c>
      <c r="L183" s="130"/>
      <c r="M183" s="130"/>
      <c r="N183" s="129"/>
      <c r="O183" s="131"/>
      <c r="P183" s="131"/>
      <c r="Q183" s="131"/>
      <c r="R183" s="130" t="s">
        <v>1513</v>
      </c>
      <c r="S183" s="130" t="s">
        <v>1514</v>
      </c>
      <c r="T183" s="131"/>
      <c r="U183" s="130"/>
      <c r="V183" s="131"/>
    </row>
    <row r="184" spans="1:22" ht="27.75" thickBot="1">
      <c r="A184" s="241" t="s">
        <v>1350</v>
      </c>
      <c r="B184" s="242" t="s">
        <v>1383</v>
      </c>
      <c r="C184" s="243" t="s">
        <v>1351</v>
      </c>
      <c r="D184" s="244"/>
      <c r="J184" s="129">
        <f t="shared" si="2"/>
        <v>182</v>
      </c>
      <c r="K184" s="130" t="s">
        <v>1516</v>
      </c>
      <c r="L184" s="130"/>
      <c r="M184" s="130"/>
      <c r="N184" s="129"/>
      <c r="O184" s="131"/>
      <c r="P184" s="131"/>
      <c r="Q184" s="131"/>
      <c r="R184" s="130" t="s">
        <v>1515</v>
      </c>
      <c r="S184" s="130" t="s">
        <v>1516</v>
      </c>
      <c r="T184" s="131"/>
      <c r="U184" s="130"/>
      <c r="V184" s="131"/>
    </row>
    <row r="185" spans="1:22" ht="21.75" thickBot="1">
      <c r="A185" s="241" t="s">
        <v>1352</v>
      </c>
      <c r="B185" s="242" t="s">
        <v>1383</v>
      </c>
      <c r="C185" s="243" t="s">
        <v>1353</v>
      </c>
      <c r="D185" s="244"/>
      <c r="J185" s="129">
        <f t="shared" si="2"/>
        <v>183</v>
      </c>
      <c r="K185" s="130" t="s">
        <v>1518</v>
      </c>
      <c r="L185" s="130"/>
      <c r="M185" s="130"/>
      <c r="N185" s="129"/>
      <c r="O185" s="131"/>
      <c r="P185" s="131"/>
      <c r="Q185" s="131"/>
      <c r="R185" s="130" t="s">
        <v>1517</v>
      </c>
      <c r="S185" s="130" t="s">
        <v>1518</v>
      </c>
      <c r="T185" s="131"/>
      <c r="U185" s="130"/>
      <c r="V185" s="131"/>
    </row>
    <row r="186" spans="1:22" ht="21.75" thickBot="1">
      <c r="A186" s="241" t="s">
        <v>1354</v>
      </c>
      <c r="B186" s="242" t="s">
        <v>1383</v>
      </c>
      <c r="C186" s="243" t="s">
        <v>1355</v>
      </c>
      <c r="D186" s="244"/>
      <c r="J186" s="129">
        <f t="shared" si="2"/>
        <v>184</v>
      </c>
      <c r="K186" s="130" t="s">
        <v>1520</v>
      </c>
      <c r="L186" s="130"/>
      <c r="M186" s="130"/>
      <c r="N186" s="129"/>
      <c r="O186" s="131"/>
      <c r="P186" s="131"/>
      <c r="Q186" s="131"/>
      <c r="R186" s="130" t="s">
        <v>1519</v>
      </c>
      <c r="S186" s="130" t="s">
        <v>1520</v>
      </c>
      <c r="T186" s="131"/>
      <c r="U186" s="130"/>
      <c r="V186" s="131"/>
    </row>
    <row r="187" spans="1:22" ht="21.75" thickBot="1">
      <c r="A187" s="241" t="s">
        <v>1356</v>
      </c>
      <c r="B187" s="242" t="s">
        <v>1383</v>
      </c>
      <c r="C187" s="243" t="s">
        <v>1357</v>
      </c>
      <c r="D187" s="244"/>
      <c r="J187" s="129">
        <f t="shared" si="2"/>
        <v>185</v>
      </c>
      <c r="K187" s="130" t="s">
        <v>1522</v>
      </c>
      <c r="L187" s="130"/>
      <c r="M187" s="130"/>
      <c r="N187" s="129"/>
      <c r="O187" s="131"/>
      <c r="P187" s="131"/>
      <c r="Q187" s="131"/>
      <c r="R187" s="130" t="s">
        <v>1521</v>
      </c>
      <c r="S187" s="130" t="s">
        <v>1522</v>
      </c>
      <c r="T187" s="131"/>
      <c r="U187" s="130"/>
      <c r="V187" s="131"/>
    </row>
    <row r="188" spans="1:22" ht="21.75" thickBot="1">
      <c r="A188" s="241" t="s">
        <v>1358</v>
      </c>
      <c r="B188" s="242" t="s">
        <v>1383</v>
      </c>
      <c r="C188" s="243" t="s">
        <v>1359</v>
      </c>
      <c r="D188" s="244"/>
      <c r="J188" s="129">
        <f t="shared" si="2"/>
        <v>186</v>
      </c>
      <c r="K188" s="130" t="s">
        <v>1523</v>
      </c>
      <c r="L188" s="130"/>
      <c r="M188" s="130"/>
      <c r="N188" s="129"/>
      <c r="O188" s="131"/>
      <c r="P188" s="131"/>
      <c r="Q188" s="131"/>
      <c r="R188" s="130" t="s">
        <v>297</v>
      </c>
      <c r="S188" s="130" t="s">
        <v>1523</v>
      </c>
      <c r="T188" s="131"/>
      <c r="U188" s="130"/>
      <c r="V188" s="131"/>
    </row>
    <row r="189" spans="1:22" ht="21.75" thickBot="1">
      <c r="A189" s="241" t="s">
        <v>1360</v>
      </c>
      <c r="B189" s="242" t="s">
        <v>1383</v>
      </c>
      <c r="C189" s="243" t="s">
        <v>1361</v>
      </c>
      <c r="D189" s="244"/>
      <c r="J189" s="129">
        <f t="shared" si="2"/>
        <v>187</v>
      </c>
      <c r="K189" s="130" t="s">
        <v>1525</v>
      </c>
      <c r="L189" s="130"/>
      <c r="M189" s="130"/>
      <c r="N189" s="129"/>
      <c r="O189" s="131"/>
      <c r="P189" s="131"/>
      <c r="Q189" s="131"/>
      <c r="R189" s="130" t="s">
        <v>1524</v>
      </c>
      <c r="S189" s="130" t="s">
        <v>1525</v>
      </c>
      <c r="T189" s="131"/>
      <c r="U189" s="130"/>
      <c r="V189" s="131"/>
    </row>
    <row r="190" spans="1:22" ht="21.75" thickBot="1">
      <c r="A190" s="241" t="s">
        <v>295</v>
      </c>
      <c r="B190" s="242" t="s">
        <v>1383</v>
      </c>
      <c r="C190" s="243" t="s">
        <v>1362</v>
      </c>
      <c r="D190" s="244"/>
      <c r="J190" s="129">
        <f t="shared" si="2"/>
        <v>188</v>
      </c>
      <c r="K190" s="130" t="s">
        <v>1527</v>
      </c>
      <c r="L190" s="130"/>
      <c r="M190" s="130"/>
      <c r="N190" s="129"/>
      <c r="O190" s="131"/>
      <c r="P190" s="131"/>
      <c r="Q190" s="131"/>
      <c r="R190" s="130" t="s">
        <v>1526</v>
      </c>
      <c r="S190" s="130" t="s">
        <v>1527</v>
      </c>
      <c r="T190" s="131"/>
      <c r="U190" s="130"/>
      <c r="V190" s="131"/>
    </row>
    <row r="191" spans="1:22" ht="21.75" thickBot="1">
      <c r="A191" s="241" t="s">
        <v>1363</v>
      </c>
      <c r="B191" s="242" t="s">
        <v>1383</v>
      </c>
      <c r="C191" s="243" t="s">
        <v>1364</v>
      </c>
      <c r="D191" s="244"/>
      <c r="J191" s="129">
        <f t="shared" si="2"/>
        <v>189</v>
      </c>
      <c r="K191" s="130" t="s">
        <v>1529</v>
      </c>
      <c r="L191" s="130"/>
      <c r="M191" s="130"/>
      <c r="N191" s="129"/>
      <c r="O191" s="131"/>
      <c r="P191" s="131"/>
      <c r="Q191" s="131"/>
      <c r="R191" s="130" t="s">
        <v>1528</v>
      </c>
      <c r="S191" s="130" t="s">
        <v>1529</v>
      </c>
      <c r="T191" s="131"/>
      <c r="U191" s="130"/>
      <c r="V191" s="131"/>
    </row>
    <row r="192" spans="1:22" ht="27.75" thickBot="1">
      <c r="A192" s="241" t="s">
        <v>1365</v>
      </c>
      <c r="B192" s="242" t="s">
        <v>1383</v>
      </c>
      <c r="C192" s="243" t="s">
        <v>1366</v>
      </c>
      <c r="D192" s="244"/>
      <c r="J192" s="129">
        <f t="shared" si="2"/>
        <v>190</v>
      </c>
      <c r="K192" s="130" t="s">
        <v>1531</v>
      </c>
      <c r="L192" s="130"/>
      <c r="M192" s="130"/>
      <c r="N192" s="129"/>
      <c r="O192" s="131"/>
      <c r="P192" s="131"/>
      <c r="Q192" s="131"/>
      <c r="R192" s="130" t="s">
        <v>1530</v>
      </c>
      <c r="S192" s="130" t="s">
        <v>1531</v>
      </c>
      <c r="T192" s="131"/>
      <c r="U192" s="130"/>
      <c r="V192" s="131"/>
    </row>
    <row r="193" spans="1:22" ht="21.75" thickBot="1">
      <c r="A193" s="241" t="s">
        <v>1367</v>
      </c>
      <c r="B193" s="242" t="s">
        <v>1383</v>
      </c>
      <c r="C193" s="243" t="s">
        <v>1368</v>
      </c>
      <c r="D193" s="244"/>
      <c r="J193" s="129">
        <f t="shared" si="2"/>
        <v>191</v>
      </c>
      <c r="K193" s="130" t="s">
        <v>1533</v>
      </c>
      <c r="L193" s="130"/>
      <c r="M193" s="130"/>
      <c r="N193" s="129"/>
      <c r="O193" s="131"/>
      <c r="P193" s="131"/>
      <c r="Q193" s="131"/>
      <c r="R193" s="130" t="s">
        <v>1532</v>
      </c>
      <c r="S193" s="130" t="s">
        <v>1533</v>
      </c>
      <c r="T193" s="131"/>
      <c r="U193" s="130"/>
      <c r="V193" s="131"/>
    </row>
    <row r="194" spans="1:22" ht="27.75" thickBot="1">
      <c r="A194" s="241" t="s">
        <v>1369</v>
      </c>
      <c r="B194" s="242" t="s">
        <v>1383</v>
      </c>
      <c r="C194" s="243" t="s">
        <v>1370</v>
      </c>
      <c r="D194" s="244"/>
      <c r="J194" s="129">
        <f t="shared" si="2"/>
        <v>192</v>
      </c>
      <c r="K194" s="130" t="s">
        <v>1535</v>
      </c>
      <c r="L194" s="130"/>
      <c r="M194" s="130"/>
      <c r="N194" s="129"/>
      <c r="O194" s="131"/>
      <c r="P194" s="131"/>
      <c r="Q194" s="131"/>
      <c r="R194" s="130" t="s">
        <v>1534</v>
      </c>
      <c r="S194" s="130" t="s">
        <v>1535</v>
      </c>
      <c r="T194" s="131"/>
      <c r="U194" s="130"/>
      <c r="V194" s="131"/>
    </row>
    <row r="195" spans="1:22" ht="27.75" thickBot="1">
      <c r="A195" s="241" t="s">
        <v>1371</v>
      </c>
      <c r="B195" s="242" t="s">
        <v>1383</v>
      </c>
      <c r="C195" s="243" t="s">
        <v>1372</v>
      </c>
      <c r="D195" s="244"/>
      <c r="J195" s="129">
        <f t="shared" si="2"/>
        <v>193</v>
      </c>
      <c r="K195" s="130" t="s">
        <v>1537</v>
      </c>
      <c r="L195" s="130"/>
      <c r="M195" s="130"/>
      <c r="N195" s="129"/>
      <c r="O195" s="131"/>
      <c r="P195" s="131"/>
      <c r="Q195" s="131"/>
      <c r="R195" s="130" t="s">
        <v>1536</v>
      </c>
      <c r="S195" s="130" t="s">
        <v>1537</v>
      </c>
      <c r="T195" s="131"/>
      <c r="U195" s="130"/>
      <c r="V195" s="131"/>
    </row>
    <row r="196" spans="1:22" ht="21.75" thickBot="1">
      <c r="A196" s="241" t="s">
        <v>1035</v>
      </c>
      <c r="B196" s="242" t="s">
        <v>1383</v>
      </c>
      <c r="C196" s="243" t="s">
        <v>1373</v>
      </c>
      <c r="D196" s="244"/>
      <c r="J196" s="129">
        <f t="shared" si="2"/>
        <v>194</v>
      </c>
      <c r="K196" s="130" t="s">
        <v>1539</v>
      </c>
      <c r="L196" s="130"/>
      <c r="M196" s="130"/>
      <c r="N196" s="129"/>
      <c r="O196" s="131"/>
      <c r="P196" s="131"/>
      <c r="Q196" s="131"/>
      <c r="R196" s="130" t="s">
        <v>1538</v>
      </c>
      <c r="S196" s="130" t="s">
        <v>1539</v>
      </c>
      <c r="T196" s="131"/>
      <c r="U196" s="130"/>
      <c r="V196" s="131"/>
    </row>
    <row r="197" spans="1:22" ht="21.75" thickBot="1">
      <c r="A197" s="241" t="s">
        <v>1374</v>
      </c>
      <c r="B197" s="242" t="s">
        <v>1383</v>
      </c>
      <c r="C197" s="243" t="s">
        <v>1375</v>
      </c>
      <c r="D197" s="244"/>
      <c r="J197" s="129">
        <f t="shared" ref="J197:J260" si="3">J196+1</f>
        <v>195</v>
      </c>
      <c r="K197" s="130" t="s">
        <v>1541</v>
      </c>
      <c r="L197" s="130"/>
      <c r="M197" s="130"/>
      <c r="N197" s="129"/>
      <c r="O197" s="131"/>
      <c r="P197" s="131"/>
      <c r="Q197" s="131"/>
      <c r="R197" s="130" t="s">
        <v>1540</v>
      </c>
      <c r="S197" s="130" t="s">
        <v>1541</v>
      </c>
      <c r="T197" s="131"/>
      <c r="U197" s="130"/>
      <c r="V197" s="131"/>
    </row>
    <row r="198" spans="1:22" ht="21.75" thickBot="1">
      <c r="A198" s="241" t="s">
        <v>296</v>
      </c>
      <c r="B198" s="242" t="s">
        <v>1383</v>
      </c>
      <c r="C198" s="243" t="s">
        <v>1378</v>
      </c>
      <c r="D198" s="244"/>
      <c r="J198" s="129">
        <f t="shared" si="3"/>
        <v>196</v>
      </c>
      <c r="K198" s="130" t="s">
        <v>1543</v>
      </c>
      <c r="L198" s="130"/>
      <c r="M198" s="130"/>
      <c r="N198" s="129"/>
      <c r="O198" s="131"/>
      <c r="P198" s="131"/>
      <c r="Q198" s="131"/>
      <c r="R198" s="130" t="s">
        <v>1542</v>
      </c>
      <c r="S198" s="130" t="s">
        <v>1543</v>
      </c>
      <c r="T198" s="131"/>
      <c r="U198" s="130"/>
      <c r="V198" s="131"/>
    </row>
    <row r="199" spans="1:22" ht="27.75" thickBot="1">
      <c r="A199" s="241" t="s">
        <v>1497</v>
      </c>
      <c r="B199" s="242" t="s">
        <v>1383</v>
      </c>
      <c r="C199" s="243" t="s">
        <v>1498</v>
      </c>
      <c r="D199" s="244"/>
      <c r="J199" s="129">
        <f t="shared" si="3"/>
        <v>197</v>
      </c>
      <c r="K199" s="130" t="s">
        <v>1545</v>
      </c>
      <c r="L199" s="130"/>
      <c r="M199" s="130"/>
      <c r="N199" s="129"/>
      <c r="O199" s="131"/>
      <c r="P199" s="131"/>
      <c r="Q199" s="131"/>
      <c r="R199" s="130" t="s">
        <v>1544</v>
      </c>
      <c r="S199" s="130" t="s">
        <v>1545</v>
      </c>
      <c r="T199" s="131"/>
      <c r="U199" s="130"/>
      <c r="V199" s="131"/>
    </row>
    <row r="200" spans="1:22" ht="27.75" thickBot="1">
      <c r="A200" s="241" t="s">
        <v>1499</v>
      </c>
      <c r="B200" s="242" t="s">
        <v>1383</v>
      </c>
      <c r="C200" s="243" t="s">
        <v>1500</v>
      </c>
      <c r="D200" s="244"/>
      <c r="J200" s="129">
        <f t="shared" si="3"/>
        <v>198</v>
      </c>
      <c r="K200" s="130" t="s">
        <v>1547</v>
      </c>
      <c r="L200" s="130"/>
      <c r="M200" s="130"/>
      <c r="N200" s="129"/>
      <c r="O200" s="131"/>
      <c r="P200" s="131"/>
      <c r="Q200" s="131"/>
      <c r="R200" s="130" t="s">
        <v>1546</v>
      </c>
      <c r="S200" s="130" t="s">
        <v>1547</v>
      </c>
      <c r="T200" s="131"/>
      <c r="U200" s="130"/>
      <c r="V200" s="131"/>
    </row>
    <row r="201" spans="1:22" ht="21.75" thickBot="1">
      <c r="A201" s="241" t="s">
        <v>1501</v>
      </c>
      <c r="B201" s="242" t="s">
        <v>1383</v>
      </c>
      <c r="C201" s="243" t="s">
        <v>1502</v>
      </c>
      <c r="D201" s="244"/>
      <c r="J201" s="129">
        <f t="shared" si="3"/>
        <v>199</v>
      </c>
      <c r="K201" s="130" t="s">
        <v>1549</v>
      </c>
      <c r="L201" s="130"/>
      <c r="M201" s="130"/>
      <c r="N201" s="129"/>
      <c r="O201" s="131"/>
      <c r="P201" s="131"/>
      <c r="Q201" s="131"/>
      <c r="R201" s="130" t="s">
        <v>1548</v>
      </c>
      <c r="S201" s="130" t="s">
        <v>1549</v>
      </c>
      <c r="T201" s="131"/>
      <c r="U201" s="130"/>
      <c r="V201" s="131"/>
    </row>
    <row r="202" spans="1:22" ht="21.75" thickBot="1">
      <c r="A202" s="241" t="s">
        <v>1503</v>
      </c>
      <c r="B202" s="242" t="s">
        <v>1383</v>
      </c>
      <c r="C202" s="243" t="s">
        <v>1504</v>
      </c>
      <c r="D202" s="244"/>
      <c r="J202" s="129">
        <f t="shared" si="3"/>
        <v>200</v>
      </c>
      <c r="K202" s="130" t="s">
        <v>1551</v>
      </c>
      <c r="L202" s="130"/>
      <c r="M202" s="130"/>
      <c r="N202" s="129"/>
      <c r="O202" s="131"/>
      <c r="P202" s="131"/>
      <c r="Q202" s="131"/>
      <c r="R202" s="130" t="s">
        <v>1550</v>
      </c>
      <c r="S202" s="130" t="s">
        <v>1551</v>
      </c>
      <c r="T202" s="131"/>
      <c r="U202" s="130"/>
      <c r="V202" s="131"/>
    </row>
    <row r="203" spans="1:22" ht="21.75" thickBot="1">
      <c r="A203" s="241" t="s">
        <v>1505</v>
      </c>
      <c r="B203" s="242" t="s">
        <v>1383</v>
      </c>
      <c r="C203" s="243" t="s">
        <v>1506</v>
      </c>
      <c r="D203" s="244"/>
      <c r="J203" s="129">
        <f t="shared" si="3"/>
        <v>201</v>
      </c>
      <c r="K203" s="130" t="s">
        <v>1553</v>
      </c>
      <c r="L203" s="130"/>
      <c r="M203" s="130"/>
      <c r="N203" s="129"/>
      <c r="O203" s="131"/>
      <c r="P203" s="131"/>
      <c r="Q203" s="131"/>
      <c r="R203" s="130" t="s">
        <v>1552</v>
      </c>
      <c r="S203" s="130" t="s">
        <v>1553</v>
      </c>
      <c r="T203" s="131"/>
      <c r="U203" s="130"/>
      <c r="V203" s="131"/>
    </row>
    <row r="204" spans="1:22" ht="21.75" thickBot="1">
      <c r="A204" s="241" t="s">
        <v>1507</v>
      </c>
      <c r="B204" s="242" t="s">
        <v>1383</v>
      </c>
      <c r="C204" s="243" t="s">
        <v>1508</v>
      </c>
      <c r="D204" s="244"/>
      <c r="J204" s="129">
        <f t="shared" si="3"/>
        <v>202</v>
      </c>
      <c r="K204" s="130" t="s">
        <v>1555</v>
      </c>
      <c r="L204" s="130"/>
      <c r="M204" s="130"/>
      <c r="N204" s="129"/>
      <c r="O204" s="131"/>
      <c r="P204" s="131"/>
      <c r="Q204" s="131"/>
      <c r="R204" s="130" t="s">
        <v>1554</v>
      </c>
      <c r="S204" s="130" t="s">
        <v>1555</v>
      </c>
      <c r="T204" s="131"/>
      <c r="U204" s="130"/>
      <c r="V204" s="131"/>
    </row>
    <row r="205" spans="1:22" ht="21.75" thickBot="1">
      <c r="A205" s="241" t="s">
        <v>1509</v>
      </c>
      <c r="B205" s="242" t="s">
        <v>1383</v>
      </c>
      <c r="C205" s="243" t="s">
        <v>1510</v>
      </c>
      <c r="D205" s="244"/>
      <c r="J205" s="129">
        <f t="shared" si="3"/>
        <v>203</v>
      </c>
      <c r="K205" s="130" t="s">
        <v>1557</v>
      </c>
      <c r="L205" s="130"/>
      <c r="M205" s="130"/>
      <c r="N205" s="129"/>
      <c r="O205" s="131"/>
      <c r="P205" s="131"/>
      <c r="Q205" s="131"/>
      <c r="R205" s="130" t="s">
        <v>1556</v>
      </c>
      <c r="S205" s="130" t="s">
        <v>1557</v>
      </c>
      <c r="T205" s="131"/>
      <c r="U205" s="130"/>
      <c r="V205" s="131"/>
    </row>
    <row r="206" spans="1:22" ht="21.75" thickBot="1">
      <c r="A206" s="241" t="s">
        <v>1511</v>
      </c>
      <c r="B206" s="242" t="s">
        <v>1383</v>
      </c>
      <c r="C206" s="243" t="s">
        <v>1512</v>
      </c>
      <c r="D206" s="244"/>
      <c r="J206" s="129">
        <f t="shared" si="3"/>
        <v>204</v>
      </c>
      <c r="K206" s="130" t="s">
        <v>1559</v>
      </c>
      <c r="L206" s="130"/>
      <c r="M206" s="130"/>
      <c r="N206" s="129"/>
      <c r="O206" s="131"/>
      <c r="P206" s="131"/>
      <c r="Q206" s="131"/>
      <c r="R206" s="130" t="s">
        <v>1558</v>
      </c>
      <c r="S206" s="130" t="s">
        <v>1559</v>
      </c>
      <c r="T206" s="131"/>
      <c r="U206" s="130"/>
      <c r="V206" s="131"/>
    </row>
    <row r="207" spans="1:22" ht="21.75" thickBot="1">
      <c r="A207" s="241" t="s">
        <v>1513</v>
      </c>
      <c r="B207" s="242" t="s">
        <v>1383</v>
      </c>
      <c r="C207" s="243" t="s">
        <v>1514</v>
      </c>
      <c r="D207" s="244"/>
      <c r="J207" s="129">
        <f t="shared" si="3"/>
        <v>205</v>
      </c>
      <c r="K207" s="130" t="s">
        <v>1561</v>
      </c>
      <c r="L207" s="130"/>
      <c r="M207" s="130"/>
      <c r="N207" s="129"/>
      <c r="O207" s="131"/>
      <c r="P207" s="131"/>
      <c r="Q207" s="131"/>
      <c r="R207" s="130" t="s">
        <v>1560</v>
      </c>
      <c r="S207" s="130" t="s">
        <v>1561</v>
      </c>
      <c r="T207" s="131"/>
      <c r="U207" s="130"/>
      <c r="V207" s="131"/>
    </row>
    <row r="208" spans="1:22" ht="21.75" thickBot="1">
      <c r="A208" s="241" t="s">
        <v>1515</v>
      </c>
      <c r="B208" s="242" t="s">
        <v>1383</v>
      </c>
      <c r="C208" s="243" t="s">
        <v>1516</v>
      </c>
      <c r="D208" s="244"/>
      <c r="J208" s="129">
        <f t="shared" si="3"/>
        <v>206</v>
      </c>
      <c r="K208" s="130" t="s">
        <v>1563</v>
      </c>
      <c r="L208" s="130"/>
      <c r="M208" s="130"/>
      <c r="N208" s="129"/>
      <c r="O208" s="131"/>
      <c r="P208" s="131"/>
      <c r="Q208" s="131"/>
      <c r="R208" s="130" t="s">
        <v>1562</v>
      </c>
      <c r="S208" s="130" t="s">
        <v>1563</v>
      </c>
      <c r="T208" s="131"/>
      <c r="U208" s="130"/>
      <c r="V208" s="131"/>
    </row>
    <row r="209" spans="1:22" ht="21.75" thickBot="1">
      <c r="A209" s="241" t="s">
        <v>1517</v>
      </c>
      <c r="B209" s="242" t="s">
        <v>1383</v>
      </c>
      <c r="C209" s="243" t="s">
        <v>1518</v>
      </c>
      <c r="D209" s="244"/>
      <c r="J209" s="129">
        <f t="shared" si="3"/>
        <v>207</v>
      </c>
      <c r="K209" s="130" t="s">
        <v>1565</v>
      </c>
      <c r="L209" s="130"/>
      <c r="M209" s="130"/>
      <c r="N209" s="129"/>
      <c r="O209" s="131"/>
      <c r="P209" s="131"/>
      <c r="Q209" s="131"/>
      <c r="R209" s="130" t="s">
        <v>1564</v>
      </c>
      <c r="S209" s="130" t="s">
        <v>1565</v>
      </c>
      <c r="T209" s="131"/>
      <c r="U209" s="130"/>
      <c r="V209" s="131"/>
    </row>
    <row r="210" spans="1:22" ht="21.75" thickBot="1">
      <c r="A210" s="241" t="s">
        <v>1519</v>
      </c>
      <c r="B210" s="242" t="s">
        <v>1383</v>
      </c>
      <c r="C210" s="243" t="s">
        <v>1520</v>
      </c>
      <c r="D210" s="244"/>
      <c r="J210" s="129">
        <f t="shared" si="3"/>
        <v>208</v>
      </c>
      <c r="K210" s="130" t="s">
        <v>1567</v>
      </c>
      <c r="L210" s="130"/>
      <c r="M210" s="130"/>
      <c r="N210" s="129"/>
      <c r="O210" s="131"/>
      <c r="P210" s="131"/>
      <c r="Q210" s="131"/>
      <c r="R210" s="130" t="s">
        <v>1566</v>
      </c>
      <c r="S210" s="130" t="s">
        <v>1567</v>
      </c>
      <c r="T210" s="131"/>
      <c r="U210" s="130"/>
      <c r="V210" s="131"/>
    </row>
    <row r="211" spans="1:22" ht="21.75" thickBot="1">
      <c r="A211" s="241" t="s">
        <v>1521</v>
      </c>
      <c r="B211" s="242" t="s">
        <v>1383</v>
      </c>
      <c r="C211" s="243" t="s">
        <v>1522</v>
      </c>
      <c r="D211" s="244"/>
      <c r="J211" s="129">
        <f t="shared" si="3"/>
        <v>209</v>
      </c>
      <c r="K211" s="130" t="s">
        <v>1569</v>
      </c>
      <c r="L211" s="130"/>
      <c r="M211" s="130"/>
      <c r="N211" s="129"/>
      <c r="O211" s="131"/>
      <c r="P211" s="131"/>
      <c r="Q211" s="131"/>
      <c r="R211" s="130" t="s">
        <v>1568</v>
      </c>
      <c r="S211" s="130" t="s">
        <v>1569</v>
      </c>
      <c r="T211" s="131"/>
      <c r="U211" s="130"/>
      <c r="V211" s="131"/>
    </row>
    <row r="212" spans="1:22" ht="21.75" thickBot="1">
      <c r="A212" s="241" t="s">
        <v>297</v>
      </c>
      <c r="B212" s="242" t="s">
        <v>1383</v>
      </c>
      <c r="C212" s="243" t="s">
        <v>1523</v>
      </c>
      <c r="D212" s="244"/>
      <c r="J212" s="129">
        <f t="shared" si="3"/>
        <v>210</v>
      </c>
      <c r="K212" s="130" t="s">
        <v>1571</v>
      </c>
      <c r="L212" s="130"/>
      <c r="M212" s="130"/>
      <c r="N212" s="129"/>
      <c r="O212" s="131"/>
      <c r="P212" s="131"/>
      <c r="Q212" s="131"/>
      <c r="R212" s="130" t="s">
        <v>1570</v>
      </c>
      <c r="S212" s="130" t="s">
        <v>1571</v>
      </c>
      <c r="T212" s="131"/>
      <c r="U212" s="130"/>
      <c r="V212" s="131"/>
    </row>
    <row r="213" spans="1:22" ht="21.75" thickBot="1">
      <c r="A213" s="241" t="s">
        <v>1524</v>
      </c>
      <c r="B213" s="242" t="s">
        <v>1383</v>
      </c>
      <c r="C213" s="243" t="s">
        <v>1525</v>
      </c>
      <c r="D213" s="244"/>
      <c r="J213" s="129">
        <f t="shared" si="3"/>
        <v>211</v>
      </c>
      <c r="K213" s="130" t="s">
        <v>1573</v>
      </c>
      <c r="L213" s="130"/>
      <c r="M213" s="130"/>
      <c r="N213" s="129"/>
      <c r="O213" s="131"/>
      <c r="P213" s="131"/>
      <c r="Q213" s="131"/>
      <c r="R213" s="130" t="s">
        <v>1572</v>
      </c>
      <c r="S213" s="130" t="s">
        <v>1573</v>
      </c>
      <c r="T213" s="131"/>
      <c r="U213" s="130"/>
      <c r="V213" s="131"/>
    </row>
    <row r="214" spans="1:22" ht="21.75" thickBot="1">
      <c r="A214" s="241" t="s">
        <v>1526</v>
      </c>
      <c r="B214" s="242" t="s">
        <v>1383</v>
      </c>
      <c r="C214" s="243" t="s">
        <v>1527</v>
      </c>
      <c r="D214" s="244"/>
      <c r="J214" s="129">
        <f t="shared" si="3"/>
        <v>212</v>
      </c>
      <c r="K214" s="130" t="s">
        <v>1575</v>
      </c>
      <c r="L214" s="130"/>
      <c r="M214" s="130"/>
      <c r="N214" s="129"/>
      <c r="O214" s="131"/>
      <c r="P214" s="131"/>
      <c r="Q214" s="131"/>
      <c r="R214" s="130" t="s">
        <v>1574</v>
      </c>
      <c r="S214" s="130" t="s">
        <v>1575</v>
      </c>
      <c r="T214" s="131"/>
      <c r="U214" s="130"/>
      <c r="V214" s="131"/>
    </row>
    <row r="215" spans="1:22" ht="21.75" thickBot="1">
      <c r="A215" s="241" t="s">
        <v>1528</v>
      </c>
      <c r="B215" s="242" t="s">
        <v>1383</v>
      </c>
      <c r="C215" s="243" t="s">
        <v>1529</v>
      </c>
      <c r="D215" s="244"/>
      <c r="J215" s="129">
        <f t="shared" si="3"/>
        <v>213</v>
      </c>
      <c r="K215" s="130" t="s">
        <v>1577</v>
      </c>
      <c r="L215" s="130"/>
      <c r="M215" s="130"/>
      <c r="N215" s="129"/>
      <c r="O215" s="131"/>
      <c r="P215" s="131"/>
      <c r="Q215" s="131"/>
      <c r="R215" s="130" t="s">
        <v>1576</v>
      </c>
      <c r="S215" s="130" t="s">
        <v>1577</v>
      </c>
      <c r="T215" s="131"/>
      <c r="U215" s="130"/>
      <c r="V215" s="131"/>
    </row>
    <row r="216" spans="1:22" ht="32.25" thickBot="1">
      <c r="A216" s="241" t="s">
        <v>1530</v>
      </c>
      <c r="B216" s="242" t="s">
        <v>1383</v>
      </c>
      <c r="C216" s="243" t="s">
        <v>1531</v>
      </c>
      <c r="D216" s="244"/>
      <c r="J216" s="129">
        <f t="shared" si="3"/>
        <v>214</v>
      </c>
      <c r="K216" s="130" t="s">
        <v>1579</v>
      </c>
      <c r="L216" s="130"/>
      <c r="M216" s="130"/>
      <c r="N216" s="129"/>
      <c r="O216" s="131"/>
      <c r="P216" s="131"/>
      <c r="Q216" s="131"/>
      <c r="R216" s="130" t="s">
        <v>1578</v>
      </c>
      <c r="S216" s="130" t="s">
        <v>1579</v>
      </c>
      <c r="T216" s="131"/>
      <c r="U216" s="130"/>
      <c r="V216" s="131"/>
    </row>
    <row r="217" spans="1:22" ht="21.75" thickBot="1">
      <c r="A217" s="241" t="s">
        <v>1532</v>
      </c>
      <c r="B217" s="242" t="s">
        <v>1383</v>
      </c>
      <c r="C217" s="243" t="s">
        <v>1533</v>
      </c>
      <c r="D217" s="244"/>
      <c r="J217" s="129">
        <f t="shared" si="3"/>
        <v>215</v>
      </c>
      <c r="K217" s="130" t="s">
        <v>1581</v>
      </c>
      <c r="L217" s="130"/>
      <c r="M217" s="130"/>
      <c r="N217" s="129"/>
      <c r="O217" s="131"/>
      <c r="P217" s="131"/>
      <c r="Q217" s="131"/>
      <c r="R217" s="130" t="s">
        <v>1580</v>
      </c>
      <c r="S217" s="130" t="s">
        <v>1581</v>
      </c>
      <c r="T217" s="131"/>
      <c r="U217" s="130"/>
      <c r="V217" s="131"/>
    </row>
    <row r="218" spans="1:22" ht="21.75" thickBot="1">
      <c r="A218" s="241" t="s">
        <v>1534</v>
      </c>
      <c r="B218" s="242" t="s">
        <v>1383</v>
      </c>
      <c r="C218" s="243" t="s">
        <v>1535</v>
      </c>
      <c r="D218" s="244"/>
      <c r="J218" s="129">
        <f t="shared" si="3"/>
        <v>216</v>
      </c>
      <c r="K218" s="130" t="s">
        <v>1583</v>
      </c>
      <c r="L218" s="130"/>
      <c r="M218" s="130"/>
      <c r="N218" s="129"/>
      <c r="O218" s="131"/>
      <c r="P218" s="131"/>
      <c r="Q218" s="131"/>
      <c r="R218" s="130" t="s">
        <v>1582</v>
      </c>
      <c r="S218" s="130" t="s">
        <v>1583</v>
      </c>
      <c r="T218" s="131"/>
      <c r="U218" s="130"/>
      <c r="V218" s="131"/>
    </row>
    <row r="219" spans="1:22" ht="21.75" thickBot="1">
      <c r="A219" s="241" t="s">
        <v>1536</v>
      </c>
      <c r="B219" s="242" t="s">
        <v>1383</v>
      </c>
      <c r="C219" s="243" t="s">
        <v>1537</v>
      </c>
      <c r="D219" s="244"/>
      <c r="J219" s="129">
        <f t="shared" si="3"/>
        <v>217</v>
      </c>
      <c r="K219" s="130" t="s">
        <v>1585</v>
      </c>
      <c r="L219" s="130"/>
      <c r="M219" s="130"/>
      <c r="N219" s="129"/>
      <c r="O219" s="131"/>
      <c r="P219" s="131"/>
      <c r="Q219" s="131"/>
      <c r="R219" s="130" t="s">
        <v>1584</v>
      </c>
      <c r="S219" s="130" t="s">
        <v>1585</v>
      </c>
      <c r="T219" s="131"/>
      <c r="U219" s="130"/>
      <c r="V219" s="131"/>
    </row>
    <row r="220" spans="1:22" ht="21.75" thickBot="1">
      <c r="A220" s="241" t="s">
        <v>1538</v>
      </c>
      <c r="B220" s="242" t="s">
        <v>1383</v>
      </c>
      <c r="C220" s="243" t="s">
        <v>1539</v>
      </c>
      <c r="D220" s="244"/>
      <c r="J220" s="129">
        <f t="shared" si="3"/>
        <v>218</v>
      </c>
      <c r="K220" s="130" t="s">
        <v>1587</v>
      </c>
      <c r="L220" s="130"/>
      <c r="M220" s="130"/>
      <c r="N220" s="129"/>
      <c r="O220" s="131"/>
      <c r="P220" s="131"/>
      <c r="Q220" s="131"/>
      <c r="R220" s="130" t="s">
        <v>1586</v>
      </c>
      <c r="S220" s="130" t="s">
        <v>1587</v>
      </c>
      <c r="T220" s="131"/>
      <c r="U220" s="130"/>
      <c r="V220" s="131"/>
    </row>
    <row r="221" spans="1:22" ht="27.75" thickBot="1">
      <c r="A221" s="241" t="s">
        <v>1540</v>
      </c>
      <c r="B221" s="242" t="s">
        <v>1383</v>
      </c>
      <c r="C221" s="243" t="s">
        <v>1541</v>
      </c>
      <c r="D221" s="244"/>
      <c r="J221" s="129">
        <f t="shared" si="3"/>
        <v>219</v>
      </c>
      <c r="K221" s="130" t="s">
        <v>1589</v>
      </c>
      <c r="L221" s="130"/>
      <c r="M221" s="130"/>
      <c r="N221" s="129"/>
      <c r="O221" s="131"/>
      <c r="P221" s="131"/>
      <c r="Q221" s="131"/>
      <c r="R221" s="130" t="s">
        <v>1588</v>
      </c>
      <c r="S221" s="130" t="s">
        <v>1589</v>
      </c>
      <c r="T221" s="131"/>
      <c r="U221" s="130"/>
      <c r="V221" s="131"/>
    </row>
    <row r="222" spans="1:22" ht="21.75" thickBot="1">
      <c r="A222" s="241" t="s">
        <v>1542</v>
      </c>
      <c r="B222" s="242" t="s">
        <v>1383</v>
      </c>
      <c r="C222" s="243" t="s">
        <v>1543</v>
      </c>
      <c r="D222" s="244"/>
      <c r="J222" s="129">
        <f t="shared" si="3"/>
        <v>220</v>
      </c>
      <c r="K222" s="130" t="s">
        <v>1591</v>
      </c>
      <c r="L222" s="130"/>
      <c r="M222" s="130"/>
      <c r="N222" s="129"/>
      <c r="O222" s="131"/>
      <c r="P222" s="131"/>
      <c r="Q222" s="131"/>
      <c r="R222" s="130" t="s">
        <v>1590</v>
      </c>
      <c r="S222" s="130" t="s">
        <v>1591</v>
      </c>
      <c r="T222" s="131"/>
      <c r="U222" s="130"/>
      <c r="V222" s="131"/>
    </row>
    <row r="223" spans="1:22" ht="32.25" thickBot="1">
      <c r="A223" s="241" t="s">
        <v>1544</v>
      </c>
      <c r="B223" s="242" t="s">
        <v>1383</v>
      </c>
      <c r="C223" s="243" t="s">
        <v>1545</v>
      </c>
      <c r="D223" s="244"/>
      <c r="J223" s="129">
        <f t="shared" si="3"/>
        <v>221</v>
      </c>
      <c r="K223" s="130" t="s">
        <v>1593</v>
      </c>
      <c r="L223" s="130"/>
      <c r="M223" s="130"/>
      <c r="N223" s="129"/>
      <c r="O223" s="131"/>
      <c r="P223" s="131"/>
      <c r="Q223" s="131"/>
      <c r="R223" s="130" t="s">
        <v>1592</v>
      </c>
      <c r="S223" s="130" t="s">
        <v>1593</v>
      </c>
      <c r="T223" s="131"/>
      <c r="U223" s="130"/>
      <c r="V223" s="131"/>
    </row>
    <row r="224" spans="1:22" ht="21.75" thickBot="1">
      <c r="A224" s="241" t="s">
        <v>1546</v>
      </c>
      <c r="B224" s="242" t="s">
        <v>1383</v>
      </c>
      <c r="C224" s="243" t="s">
        <v>1547</v>
      </c>
      <c r="D224" s="244"/>
      <c r="J224" s="129">
        <f t="shared" si="3"/>
        <v>222</v>
      </c>
      <c r="K224" s="130" t="s">
        <v>1595</v>
      </c>
      <c r="L224" s="130"/>
      <c r="M224" s="130"/>
      <c r="N224" s="129"/>
      <c r="O224" s="131"/>
      <c r="P224" s="131"/>
      <c r="Q224" s="131"/>
      <c r="R224" s="130" t="s">
        <v>1594</v>
      </c>
      <c r="S224" s="130" t="s">
        <v>1595</v>
      </c>
      <c r="T224" s="131"/>
      <c r="U224" s="130"/>
      <c r="V224" s="131"/>
    </row>
    <row r="225" spans="1:22" ht="21.75" thickBot="1">
      <c r="A225" s="241" t="s">
        <v>1548</v>
      </c>
      <c r="B225" s="242" t="s">
        <v>1383</v>
      </c>
      <c r="C225" s="243" t="s">
        <v>1549</v>
      </c>
      <c r="D225" s="244"/>
      <c r="J225" s="129">
        <f t="shared" si="3"/>
        <v>223</v>
      </c>
      <c r="K225" s="130" t="s">
        <v>1597</v>
      </c>
      <c r="L225" s="130"/>
      <c r="M225" s="130"/>
      <c r="N225" s="129"/>
      <c r="O225" s="131"/>
      <c r="P225" s="131"/>
      <c r="Q225" s="131"/>
      <c r="R225" s="130" t="s">
        <v>1596</v>
      </c>
      <c r="S225" s="130" t="s">
        <v>1597</v>
      </c>
      <c r="T225" s="131"/>
      <c r="U225" s="130"/>
      <c r="V225" s="131"/>
    </row>
    <row r="226" spans="1:22" ht="21.75" thickBot="1">
      <c r="A226" s="241" t="s">
        <v>1550</v>
      </c>
      <c r="B226" s="242" t="s">
        <v>1383</v>
      </c>
      <c r="C226" s="243" t="s">
        <v>1551</v>
      </c>
      <c r="D226" s="244"/>
      <c r="J226" s="129">
        <f t="shared" si="3"/>
        <v>224</v>
      </c>
      <c r="K226" s="130" t="s">
        <v>1599</v>
      </c>
      <c r="L226" s="130"/>
      <c r="M226" s="130"/>
      <c r="N226" s="129"/>
      <c r="O226" s="131"/>
      <c r="P226" s="131"/>
      <c r="Q226" s="131"/>
      <c r="R226" s="130" t="s">
        <v>1598</v>
      </c>
      <c r="S226" s="130" t="s">
        <v>1599</v>
      </c>
      <c r="T226" s="131"/>
      <c r="U226" s="130"/>
      <c r="V226" s="131"/>
    </row>
    <row r="227" spans="1:22" ht="21.75" thickBot="1">
      <c r="A227" s="241" t="s">
        <v>1552</v>
      </c>
      <c r="B227" s="242" t="s">
        <v>1383</v>
      </c>
      <c r="C227" s="243" t="s">
        <v>1553</v>
      </c>
      <c r="D227" s="244"/>
      <c r="J227" s="129">
        <f t="shared" si="3"/>
        <v>225</v>
      </c>
      <c r="K227" s="130" t="s">
        <v>1601</v>
      </c>
      <c r="L227" s="130"/>
      <c r="M227" s="130"/>
      <c r="N227" s="129"/>
      <c r="O227" s="131"/>
      <c r="P227" s="131"/>
      <c r="Q227" s="131"/>
      <c r="R227" s="130" t="s">
        <v>1600</v>
      </c>
      <c r="S227" s="130" t="s">
        <v>1601</v>
      </c>
      <c r="T227" s="131"/>
      <c r="U227" s="130"/>
      <c r="V227" s="131"/>
    </row>
    <row r="228" spans="1:22" ht="27.75" thickBot="1">
      <c r="A228" s="241" t="s">
        <v>1554</v>
      </c>
      <c r="B228" s="242" t="s">
        <v>1383</v>
      </c>
      <c r="C228" s="243" t="s">
        <v>1555</v>
      </c>
      <c r="D228" s="244"/>
      <c r="J228" s="129">
        <f t="shared" si="3"/>
        <v>226</v>
      </c>
      <c r="K228" s="130" t="s">
        <v>1603</v>
      </c>
      <c r="L228" s="130"/>
      <c r="M228" s="130"/>
      <c r="N228" s="129"/>
      <c r="O228" s="131"/>
      <c r="P228" s="131"/>
      <c r="Q228" s="131"/>
      <c r="R228" s="130" t="s">
        <v>1602</v>
      </c>
      <c r="S228" s="130" t="s">
        <v>1603</v>
      </c>
      <c r="T228" s="131"/>
      <c r="U228" s="130"/>
      <c r="V228" s="131"/>
    </row>
    <row r="229" spans="1:22" ht="27.75" thickBot="1">
      <c r="A229" s="241" t="s">
        <v>1556</v>
      </c>
      <c r="B229" s="242" t="s">
        <v>1383</v>
      </c>
      <c r="C229" s="243" t="s">
        <v>1557</v>
      </c>
      <c r="D229" s="244"/>
      <c r="J229" s="129">
        <f t="shared" si="3"/>
        <v>227</v>
      </c>
      <c r="K229" s="130" t="s">
        <v>1605</v>
      </c>
      <c r="L229" s="130"/>
      <c r="M229" s="130"/>
      <c r="N229" s="129"/>
      <c r="O229" s="131"/>
      <c r="P229" s="131"/>
      <c r="Q229" s="131"/>
      <c r="R229" s="130" t="s">
        <v>1604</v>
      </c>
      <c r="S229" s="130" t="s">
        <v>1605</v>
      </c>
      <c r="T229" s="131"/>
      <c r="U229" s="130"/>
      <c r="V229" s="131"/>
    </row>
    <row r="230" spans="1:22" ht="27.75" thickBot="1">
      <c r="A230" s="241" t="s">
        <v>1558</v>
      </c>
      <c r="B230" s="242" t="s">
        <v>1383</v>
      </c>
      <c r="C230" s="243" t="s">
        <v>1559</v>
      </c>
      <c r="D230" s="244"/>
      <c r="J230" s="129">
        <f t="shared" si="3"/>
        <v>228</v>
      </c>
      <c r="K230" s="130" t="s">
        <v>1607</v>
      </c>
      <c r="L230" s="130"/>
      <c r="M230" s="130"/>
      <c r="N230" s="129"/>
      <c r="O230" s="131"/>
      <c r="P230" s="131"/>
      <c r="Q230" s="131"/>
      <c r="R230" s="130" t="s">
        <v>1606</v>
      </c>
      <c r="S230" s="130" t="s">
        <v>1607</v>
      </c>
      <c r="T230" s="131"/>
      <c r="U230" s="130"/>
      <c r="V230" s="131"/>
    </row>
    <row r="231" spans="1:22" ht="27.75" thickBot="1">
      <c r="A231" s="241" t="s">
        <v>1560</v>
      </c>
      <c r="B231" s="242" t="s">
        <v>1383</v>
      </c>
      <c r="C231" s="243" t="s">
        <v>1561</v>
      </c>
      <c r="D231" s="244"/>
      <c r="J231" s="129">
        <f t="shared" si="3"/>
        <v>229</v>
      </c>
      <c r="K231" s="130" t="s">
        <v>1609</v>
      </c>
      <c r="L231" s="130"/>
      <c r="M231" s="130"/>
      <c r="N231" s="129"/>
      <c r="O231" s="131"/>
      <c r="P231" s="131"/>
      <c r="Q231" s="131"/>
      <c r="R231" s="130" t="s">
        <v>1608</v>
      </c>
      <c r="S231" s="130" t="s">
        <v>1609</v>
      </c>
      <c r="T231" s="131"/>
      <c r="U231" s="130"/>
      <c r="V231" s="131"/>
    </row>
    <row r="232" spans="1:22" ht="21.75" thickBot="1">
      <c r="A232" s="241" t="s">
        <v>1562</v>
      </c>
      <c r="B232" s="242" t="s">
        <v>1383</v>
      </c>
      <c r="C232" s="243" t="s">
        <v>1563</v>
      </c>
      <c r="D232" s="244"/>
      <c r="J232" s="129">
        <f t="shared" si="3"/>
        <v>230</v>
      </c>
      <c r="K232" s="130" t="s">
        <v>1611</v>
      </c>
      <c r="L232" s="130"/>
      <c r="M232" s="130"/>
      <c r="N232" s="129"/>
      <c r="O232" s="131"/>
      <c r="P232" s="131"/>
      <c r="Q232" s="131"/>
      <c r="R232" s="130" t="s">
        <v>1610</v>
      </c>
      <c r="S232" s="130" t="s">
        <v>1611</v>
      </c>
      <c r="T232" s="131"/>
      <c r="U232" s="130"/>
      <c r="V232" s="131"/>
    </row>
    <row r="233" spans="1:22" ht="21.75" thickBot="1">
      <c r="A233" s="241" t="s">
        <v>1564</v>
      </c>
      <c r="B233" s="242" t="s">
        <v>1383</v>
      </c>
      <c r="C233" s="243" t="s">
        <v>1565</v>
      </c>
      <c r="D233" s="244"/>
      <c r="J233" s="129">
        <f t="shared" si="3"/>
        <v>231</v>
      </c>
      <c r="K233" s="130" t="s">
        <v>1613</v>
      </c>
      <c r="L233" s="130"/>
      <c r="M233" s="130"/>
      <c r="N233" s="129"/>
      <c r="O233" s="131"/>
      <c r="P233" s="131"/>
      <c r="Q233" s="131"/>
      <c r="R233" s="130" t="s">
        <v>1612</v>
      </c>
      <c r="S233" s="130" t="s">
        <v>1613</v>
      </c>
      <c r="T233" s="131"/>
      <c r="U233" s="130"/>
      <c r="V233" s="131"/>
    </row>
    <row r="234" spans="1:22" ht="21.75" thickBot="1">
      <c r="A234" s="241" t="s">
        <v>1566</v>
      </c>
      <c r="B234" s="242" t="s">
        <v>1383</v>
      </c>
      <c r="C234" s="243" t="s">
        <v>1567</v>
      </c>
      <c r="D234" s="244"/>
      <c r="J234" s="129">
        <f t="shared" si="3"/>
        <v>232</v>
      </c>
      <c r="K234" s="130" t="s">
        <v>1615</v>
      </c>
      <c r="L234" s="130"/>
      <c r="M234" s="130"/>
      <c r="N234" s="129"/>
      <c r="O234" s="131"/>
      <c r="P234" s="131"/>
      <c r="Q234" s="131"/>
      <c r="R234" s="130" t="s">
        <v>1614</v>
      </c>
      <c r="S234" s="130" t="s">
        <v>1615</v>
      </c>
      <c r="T234" s="131"/>
      <c r="U234" s="130"/>
      <c r="V234" s="131"/>
    </row>
    <row r="235" spans="1:22" ht="21.75" thickBot="1">
      <c r="A235" s="241" t="s">
        <v>1568</v>
      </c>
      <c r="B235" s="242" t="s">
        <v>1383</v>
      </c>
      <c r="C235" s="243" t="s">
        <v>1569</v>
      </c>
      <c r="D235" s="244"/>
      <c r="J235" s="129">
        <f t="shared" si="3"/>
        <v>233</v>
      </c>
      <c r="K235" s="130" t="s">
        <v>1617</v>
      </c>
      <c r="L235" s="130"/>
      <c r="M235" s="130"/>
      <c r="N235" s="129"/>
      <c r="O235" s="131"/>
      <c r="P235" s="131"/>
      <c r="Q235" s="131"/>
      <c r="R235" s="130" t="s">
        <v>1616</v>
      </c>
      <c r="S235" s="130" t="s">
        <v>1617</v>
      </c>
      <c r="T235" s="131"/>
      <c r="U235" s="130"/>
      <c r="V235" s="131"/>
    </row>
    <row r="236" spans="1:22" ht="21.75" thickBot="1">
      <c r="A236" s="241" t="s">
        <v>1570</v>
      </c>
      <c r="B236" s="242" t="s">
        <v>1383</v>
      </c>
      <c r="C236" s="243" t="s">
        <v>1571</v>
      </c>
      <c r="D236" s="244"/>
      <c r="J236" s="129">
        <f t="shared" si="3"/>
        <v>234</v>
      </c>
      <c r="K236" s="130" t="s">
        <v>1619</v>
      </c>
      <c r="L236" s="130"/>
      <c r="M236" s="130"/>
      <c r="N236" s="129"/>
      <c r="O236" s="131"/>
      <c r="P236" s="131"/>
      <c r="Q236" s="131"/>
      <c r="R236" s="130" t="s">
        <v>1618</v>
      </c>
      <c r="S236" s="130" t="s">
        <v>1619</v>
      </c>
      <c r="T236" s="131"/>
      <c r="U236" s="130"/>
      <c r="V236" s="131"/>
    </row>
    <row r="237" spans="1:22" ht="21.75" thickBot="1">
      <c r="A237" s="241" t="s">
        <v>1572</v>
      </c>
      <c r="B237" s="242" t="s">
        <v>1383</v>
      </c>
      <c r="C237" s="243" t="s">
        <v>1573</v>
      </c>
      <c r="D237" s="244"/>
      <c r="J237" s="129">
        <f t="shared" si="3"/>
        <v>235</v>
      </c>
      <c r="K237" s="130" t="s">
        <v>1621</v>
      </c>
      <c r="L237" s="130"/>
      <c r="M237" s="130"/>
      <c r="N237" s="129"/>
      <c r="O237" s="131"/>
      <c r="P237" s="131"/>
      <c r="Q237" s="131"/>
      <c r="R237" s="130" t="s">
        <v>1620</v>
      </c>
      <c r="S237" s="130" t="s">
        <v>1621</v>
      </c>
      <c r="T237" s="131"/>
      <c r="U237" s="130"/>
      <c r="V237" s="131"/>
    </row>
    <row r="238" spans="1:22" ht="21.75" thickBot="1">
      <c r="A238" s="241" t="s">
        <v>1574</v>
      </c>
      <c r="B238" s="242" t="s">
        <v>1383</v>
      </c>
      <c r="C238" s="243" t="s">
        <v>1575</v>
      </c>
      <c r="D238" s="244"/>
      <c r="J238" s="129">
        <f t="shared" si="3"/>
        <v>236</v>
      </c>
      <c r="K238" s="130" t="s">
        <v>1623</v>
      </c>
      <c r="L238" s="130"/>
      <c r="M238" s="130"/>
      <c r="N238" s="129"/>
      <c r="O238" s="131"/>
      <c r="P238" s="131"/>
      <c r="Q238" s="131"/>
      <c r="R238" s="130" t="s">
        <v>1622</v>
      </c>
      <c r="S238" s="130" t="s">
        <v>1623</v>
      </c>
      <c r="T238" s="131"/>
      <c r="U238" s="130"/>
      <c r="V238" s="131"/>
    </row>
    <row r="239" spans="1:22" ht="27.75" thickBot="1">
      <c r="A239" s="241" t="s">
        <v>1576</v>
      </c>
      <c r="B239" s="242" t="s">
        <v>1383</v>
      </c>
      <c r="C239" s="243" t="s">
        <v>1577</v>
      </c>
      <c r="D239" s="244"/>
      <c r="J239" s="129">
        <f t="shared" si="3"/>
        <v>237</v>
      </c>
      <c r="K239" s="130" t="s">
        <v>1625</v>
      </c>
      <c r="L239" s="130"/>
      <c r="M239" s="130"/>
      <c r="N239" s="129"/>
      <c r="O239" s="131"/>
      <c r="P239" s="131"/>
      <c r="Q239" s="131"/>
      <c r="R239" s="130" t="s">
        <v>1624</v>
      </c>
      <c r="S239" s="130" t="s">
        <v>1625</v>
      </c>
      <c r="T239" s="131"/>
      <c r="U239" s="130"/>
      <c r="V239" s="131"/>
    </row>
    <row r="240" spans="1:22" ht="27.75" thickBot="1">
      <c r="A240" s="241" t="s">
        <v>1578</v>
      </c>
      <c r="B240" s="242" t="s">
        <v>1383</v>
      </c>
      <c r="C240" s="243" t="s">
        <v>1579</v>
      </c>
      <c r="D240" s="244"/>
      <c r="J240" s="129">
        <f t="shared" si="3"/>
        <v>238</v>
      </c>
      <c r="K240" s="130" t="s">
        <v>1627</v>
      </c>
      <c r="L240" s="130"/>
      <c r="M240" s="130"/>
      <c r="N240" s="129"/>
      <c r="O240" s="131"/>
      <c r="P240" s="131"/>
      <c r="Q240" s="131"/>
      <c r="R240" s="130" t="s">
        <v>1626</v>
      </c>
      <c r="S240" s="130" t="s">
        <v>1627</v>
      </c>
      <c r="T240" s="131"/>
      <c r="U240" s="130"/>
      <c r="V240" s="131"/>
    </row>
    <row r="241" spans="1:22" ht="21.75" thickBot="1">
      <c r="A241" s="241" t="s">
        <v>1580</v>
      </c>
      <c r="B241" s="242" t="s">
        <v>1383</v>
      </c>
      <c r="C241" s="243" t="s">
        <v>1581</v>
      </c>
      <c r="D241" s="244"/>
      <c r="J241" s="129">
        <f t="shared" si="3"/>
        <v>239</v>
      </c>
      <c r="K241" s="130" t="s">
        <v>1629</v>
      </c>
      <c r="L241" s="130"/>
      <c r="M241" s="130"/>
      <c r="N241" s="129"/>
      <c r="O241" s="131"/>
      <c r="P241" s="131"/>
      <c r="Q241" s="131"/>
      <c r="R241" s="130" t="s">
        <v>1628</v>
      </c>
      <c r="S241" s="130" t="s">
        <v>1629</v>
      </c>
      <c r="T241" s="131"/>
      <c r="U241" s="130"/>
      <c r="V241" s="131"/>
    </row>
    <row r="242" spans="1:22" ht="27.75" thickBot="1">
      <c r="A242" s="241" t="s">
        <v>1582</v>
      </c>
      <c r="B242" s="242" t="s">
        <v>1383</v>
      </c>
      <c r="C242" s="243" t="s">
        <v>1583</v>
      </c>
      <c r="D242" s="244"/>
      <c r="J242" s="129">
        <f t="shared" si="3"/>
        <v>240</v>
      </c>
      <c r="K242" s="130" t="s">
        <v>1631</v>
      </c>
      <c r="L242" s="130"/>
      <c r="M242" s="130"/>
      <c r="N242" s="129"/>
      <c r="O242" s="131"/>
      <c r="P242" s="131"/>
      <c r="Q242" s="131"/>
      <c r="R242" s="130" t="s">
        <v>1630</v>
      </c>
      <c r="S242" s="130" t="s">
        <v>1631</v>
      </c>
      <c r="T242" s="131"/>
      <c r="U242" s="130"/>
      <c r="V242" s="131"/>
    </row>
    <row r="243" spans="1:22" ht="27.75" thickBot="1">
      <c r="A243" s="241" t="s">
        <v>1584</v>
      </c>
      <c r="B243" s="242" t="s">
        <v>1383</v>
      </c>
      <c r="C243" s="243" t="s">
        <v>1585</v>
      </c>
      <c r="D243" s="244"/>
      <c r="J243" s="129">
        <f t="shared" si="3"/>
        <v>241</v>
      </c>
      <c r="K243" s="130" t="s">
        <v>1633</v>
      </c>
      <c r="L243" s="130"/>
      <c r="M243" s="130"/>
      <c r="N243" s="129"/>
      <c r="O243" s="131"/>
      <c r="P243" s="131"/>
      <c r="Q243" s="131"/>
      <c r="R243" s="130" t="s">
        <v>1632</v>
      </c>
      <c r="S243" s="130" t="s">
        <v>1633</v>
      </c>
      <c r="T243" s="131"/>
      <c r="U243" s="130"/>
      <c r="V243" s="131"/>
    </row>
    <row r="244" spans="1:22" ht="27.75" thickBot="1">
      <c r="A244" s="241" t="s">
        <v>1586</v>
      </c>
      <c r="B244" s="242" t="s">
        <v>1383</v>
      </c>
      <c r="C244" s="243" t="s">
        <v>1587</v>
      </c>
      <c r="D244" s="244"/>
      <c r="J244" s="129">
        <f t="shared" si="3"/>
        <v>242</v>
      </c>
      <c r="K244" s="130" t="s">
        <v>1635</v>
      </c>
      <c r="L244" s="130"/>
      <c r="M244" s="130"/>
      <c r="N244" s="129"/>
      <c r="O244" s="131"/>
      <c r="P244" s="131"/>
      <c r="Q244" s="131"/>
      <c r="R244" s="130" t="s">
        <v>1634</v>
      </c>
      <c r="S244" s="130" t="s">
        <v>1635</v>
      </c>
      <c r="T244" s="131"/>
      <c r="U244" s="130"/>
      <c r="V244" s="131"/>
    </row>
    <row r="245" spans="1:22" ht="21.75" thickBot="1">
      <c r="A245" s="241" t="s">
        <v>1588</v>
      </c>
      <c r="B245" s="242" t="s">
        <v>1383</v>
      </c>
      <c r="C245" s="243" t="s">
        <v>1589</v>
      </c>
      <c r="D245" s="244"/>
      <c r="J245" s="129">
        <f t="shared" si="3"/>
        <v>243</v>
      </c>
      <c r="K245" s="130" t="s">
        <v>1637</v>
      </c>
      <c r="L245" s="130"/>
      <c r="M245" s="130"/>
      <c r="N245" s="129"/>
      <c r="O245" s="131"/>
      <c r="P245" s="131"/>
      <c r="Q245" s="131"/>
      <c r="R245" s="130" t="s">
        <v>1636</v>
      </c>
      <c r="S245" s="130" t="s">
        <v>1637</v>
      </c>
      <c r="T245" s="131"/>
      <c r="U245" s="130"/>
      <c r="V245" s="131"/>
    </row>
    <row r="246" spans="1:22" ht="21.75" thickBot="1">
      <c r="A246" s="241" t="s">
        <v>1590</v>
      </c>
      <c r="B246" s="242" t="s">
        <v>1383</v>
      </c>
      <c r="C246" s="243" t="s">
        <v>1591</v>
      </c>
      <c r="D246" s="244"/>
      <c r="J246" s="129">
        <f t="shared" si="3"/>
        <v>244</v>
      </c>
      <c r="K246" s="130" t="s">
        <v>1639</v>
      </c>
      <c r="L246" s="130"/>
      <c r="M246" s="130"/>
      <c r="N246" s="129"/>
      <c r="O246" s="131"/>
      <c r="P246" s="131"/>
      <c r="Q246" s="131"/>
      <c r="R246" s="130" t="s">
        <v>1638</v>
      </c>
      <c r="S246" s="130" t="s">
        <v>1639</v>
      </c>
      <c r="T246" s="131"/>
      <c r="U246" s="130"/>
      <c r="V246" s="131"/>
    </row>
    <row r="247" spans="1:22" ht="21.75" thickBot="1">
      <c r="A247" s="241" t="s">
        <v>1592</v>
      </c>
      <c r="B247" s="242" t="s">
        <v>1383</v>
      </c>
      <c r="C247" s="243" t="s">
        <v>1593</v>
      </c>
      <c r="D247" s="244"/>
      <c r="J247" s="129">
        <f t="shared" si="3"/>
        <v>245</v>
      </c>
      <c r="K247" s="130" t="s">
        <v>1641</v>
      </c>
      <c r="L247" s="130"/>
      <c r="M247" s="130"/>
      <c r="N247" s="129"/>
      <c r="O247" s="131"/>
      <c r="P247" s="131"/>
      <c r="Q247" s="131"/>
      <c r="R247" s="130" t="s">
        <v>1640</v>
      </c>
      <c r="S247" s="130" t="s">
        <v>1641</v>
      </c>
      <c r="T247" s="131"/>
      <c r="U247" s="130"/>
      <c r="V247" s="131"/>
    </row>
    <row r="248" spans="1:22" ht="21.75" thickBot="1">
      <c r="A248" s="241" t="s">
        <v>1594</v>
      </c>
      <c r="B248" s="242" t="s">
        <v>1383</v>
      </c>
      <c r="C248" s="243" t="s">
        <v>1595</v>
      </c>
      <c r="D248" s="244"/>
      <c r="J248" s="129">
        <f t="shared" si="3"/>
        <v>246</v>
      </c>
      <c r="K248" s="130" t="s">
        <v>1643</v>
      </c>
      <c r="L248" s="130"/>
      <c r="M248" s="130"/>
      <c r="N248" s="129"/>
      <c r="O248" s="131"/>
      <c r="P248" s="131"/>
      <c r="Q248" s="131"/>
      <c r="R248" s="130" t="s">
        <v>1642</v>
      </c>
      <c r="S248" s="130" t="s">
        <v>1643</v>
      </c>
      <c r="T248" s="131"/>
      <c r="U248" s="130"/>
      <c r="V248" s="131"/>
    </row>
    <row r="249" spans="1:22" ht="21.75" thickBot="1">
      <c r="A249" s="241" t="s">
        <v>1596</v>
      </c>
      <c r="B249" s="242" t="s">
        <v>1383</v>
      </c>
      <c r="C249" s="243" t="s">
        <v>1597</v>
      </c>
      <c r="D249" s="244"/>
      <c r="J249" s="129">
        <f t="shared" si="3"/>
        <v>247</v>
      </c>
      <c r="K249" s="130" t="s">
        <v>1645</v>
      </c>
      <c r="L249" s="130"/>
      <c r="M249" s="130"/>
      <c r="N249" s="129"/>
      <c r="O249" s="131"/>
      <c r="P249" s="131"/>
      <c r="Q249" s="131"/>
      <c r="R249" s="130" t="s">
        <v>1644</v>
      </c>
      <c r="S249" s="130" t="s">
        <v>1645</v>
      </c>
      <c r="T249" s="131"/>
      <c r="U249" s="130"/>
      <c r="V249" s="131"/>
    </row>
    <row r="250" spans="1:22" ht="21.75" thickBot="1">
      <c r="A250" s="241" t="s">
        <v>1598</v>
      </c>
      <c r="B250" s="242" t="s">
        <v>1383</v>
      </c>
      <c r="C250" s="243" t="s">
        <v>1599</v>
      </c>
      <c r="D250" s="244"/>
      <c r="J250" s="129">
        <f t="shared" si="3"/>
        <v>248</v>
      </c>
      <c r="K250" s="130" t="s">
        <v>1647</v>
      </c>
      <c r="L250" s="130"/>
      <c r="M250" s="130"/>
      <c r="N250" s="129"/>
      <c r="O250" s="131"/>
      <c r="P250" s="131"/>
      <c r="Q250" s="131"/>
      <c r="R250" s="130" t="s">
        <v>1646</v>
      </c>
      <c r="S250" s="130" t="s">
        <v>1647</v>
      </c>
      <c r="T250" s="131"/>
      <c r="U250" s="130"/>
      <c r="V250" s="131"/>
    </row>
    <row r="251" spans="1:22" ht="21.75" thickBot="1">
      <c r="A251" s="241" t="s">
        <v>1600</v>
      </c>
      <c r="B251" s="242" t="s">
        <v>1383</v>
      </c>
      <c r="C251" s="243" t="s">
        <v>1601</v>
      </c>
      <c r="D251" s="244"/>
      <c r="J251" s="129">
        <f t="shared" si="3"/>
        <v>249</v>
      </c>
      <c r="K251" s="130" t="s">
        <v>1649</v>
      </c>
      <c r="L251" s="130"/>
      <c r="M251" s="130"/>
      <c r="N251" s="129"/>
      <c r="O251" s="131"/>
      <c r="P251" s="131"/>
      <c r="Q251" s="131"/>
      <c r="R251" s="130" t="s">
        <v>1648</v>
      </c>
      <c r="S251" s="130" t="s">
        <v>1649</v>
      </c>
      <c r="T251" s="131"/>
      <c r="U251" s="130"/>
      <c r="V251" s="131"/>
    </row>
    <row r="252" spans="1:22" ht="21.75" thickBot="1">
      <c r="A252" s="241" t="s">
        <v>1602</v>
      </c>
      <c r="B252" s="242" t="s">
        <v>1383</v>
      </c>
      <c r="C252" s="243" t="s">
        <v>1603</v>
      </c>
      <c r="D252" s="244"/>
      <c r="J252" s="129">
        <f t="shared" si="3"/>
        <v>250</v>
      </c>
      <c r="K252" s="130" t="s">
        <v>1651</v>
      </c>
      <c r="L252" s="130"/>
      <c r="M252" s="130"/>
      <c r="N252" s="129"/>
      <c r="O252" s="131"/>
      <c r="P252" s="131"/>
      <c r="Q252" s="131"/>
      <c r="R252" s="130" t="s">
        <v>1650</v>
      </c>
      <c r="S252" s="130" t="s">
        <v>1651</v>
      </c>
      <c r="T252" s="131"/>
      <c r="U252" s="130"/>
      <c r="V252" s="131"/>
    </row>
    <row r="253" spans="1:22" ht="32.25" thickBot="1">
      <c r="A253" s="241" t="s">
        <v>1604</v>
      </c>
      <c r="B253" s="242" t="s">
        <v>1383</v>
      </c>
      <c r="C253" s="243" t="s">
        <v>1605</v>
      </c>
      <c r="D253" s="244"/>
      <c r="J253" s="129">
        <f t="shared" si="3"/>
        <v>251</v>
      </c>
      <c r="K253" s="130" t="s">
        <v>1653</v>
      </c>
      <c r="L253" s="130"/>
      <c r="M253" s="130"/>
      <c r="N253" s="129"/>
      <c r="O253" s="131"/>
      <c r="P253" s="131"/>
      <c r="Q253" s="131"/>
      <c r="R253" s="130" t="s">
        <v>1652</v>
      </c>
      <c r="S253" s="130" t="s">
        <v>1653</v>
      </c>
      <c r="T253" s="131"/>
      <c r="U253" s="130"/>
      <c r="V253" s="131"/>
    </row>
    <row r="254" spans="1:22" ht="21.75" thickBot="1">
      <c r="A254" s="241" t="s">
        <v>1606</v>
      </c>
      <c r="B254" s="242" t="s">
        <v>1383</v>
      </c>
      <c r="C254" s="243" t="s">
        <v>1607</v>
      </c>
      <c r="D254" s="244"/>
      <c r="J254" s="129">
        <f t="shared" si="3"/>
        <v>252</v>
      </c>
      <c r="K254" s="130" t="s">
        <v>1655</v>
      </c>
      <c r="L254" s="130"/>
      <c r="M254" s="130"/>
      <c r="N254" s="129"/>
      <c r="O254" s="131"/>
      <c r="P254" s="131"/>
      <c r="Q254" s="131"/>
      <c r="R254" s="130" t="s">
        <v>1654</v>
      </c>
      <c r="S254" s="130" t="s">
        <v>1655</v>
      </c>
      <c r="T254" s="131"/>
      <c r="U254" s="130"/>
      <c r="V254" s="131"/>
    </row>
    <row r="255" spans="1:22" ht="21.75" thickBot="1">
      <c r="A255" s="241" t="s">
        <v>1608</v>
      </c>
      <c r="B255" s="242" t="s">
        <v>1383</v>
      </c>
      <c r="C255" s="243" t="s">
        <v>1609</v>
      </c>
      <c r="D255" s="244"/>
      <c r="J255" s="129">
        <f t="shared" si="3"/>
        <v>253</v>
      </c>
      <c r="K255" s="130" t="s">
        <v>1657</v>
      </c>
      <c r="L255" s="130"/>
      <c r="M255" s="130"/>
      <c r="N255" s="129"/>
      <c r="O255" s="131"/>
      <c r="P255" s="131"/>
      <c r="Q255" s="131"/>
      <c r="R255" s="130" t="s">
        <v>1656</v>
      </c>
      <c r="S255" s="130" t="s">
        <v>1657</v>
      </c>
      <c r="T255" s="131"/>
      <c r="U255" s="130"/>
      <c r="V255" s="131"/>
    </row>
    <row r="256" spans="1:22" ht="21.75" thickBot="1">
      <c r="A256" s="241" t="s">
        <v>1610</v>
      </c>
      <c r="B256" s="242" t="s">
        <v>1383</v>
      </c>
      <c r="C256" s="243" t="s">
        <v>1611</v>
      </c>
      <c r="D256" s="244"/>
      <c r="J256" s="129">
        <f t="shared" si="3"/>
        <v>254</v>
      </c>
      <c r="K256" s="130" t="s">
        <v>1659</v>
      </c>
      <c r="L256" s="130"/>
      <c r="M256" s="130"/>
      <c r="N256" s="129"/>
      <c r="O256" s="131"/>
      <c r="P256" s="131"/>
      <c r="Q256" s="131"/>
      <c r="R256" s="130" t="s">
        <v>1658</v>
      </c>
      <c r="S256" s="130" t="s">
        <v>1659</v>
      </c>
      <c r="T256" s="131"/>
      <c r="U256" s="130"/>
      <c r="V256" s="131"/>
    </row>
    <row r="257" spans="1:22" ht="21.75" thickBot="1">
      <c r="A257" s="241" t="s">
        <v>1612</v>
      </c>
      <c r="B257" s="242" t="s">
        <v>1383</v>
      </c>
      <c r="C257" s="243" t="s">
        <v>1613</v>
      </c>
      <c r="D257" s="244"/>
      <c r="J257" s="129">
        <f t="shared" si="3"/>
        <v>255</v>
      </c>
      <c r="K257" s="130" t="s">
        <v>1661</v>
      </c>
      <c r="L257" s="130"/>
      <c r="M257" s="130"/>
      <c r="N257" s="129"/>
      <c r="O257" s="131"/>
      <c r="P257" s="131"/>
      <c r="Q257" s="131"/>
      <c r="R257" s="130" t="s">
        <v>1660</v>
      </c>
      <c r="S257" s="130" t="s">
        <v>1661</v>
      </c>
      <c r="T257" s="131"/>
      <c r="U257" s="130"/>
      <c r="V257" s="131"/>
    </row>
    <row r="258" spans="1:22" ht="21.75" thickBot="1">
      <c r="A258" s="241" t="s">
        <v>1614</v>
      </c>
      <c r="B258" s="242" t="s">
        <v>1383</v>
      </c>
      <c r="C258" s="243" t="s">
        <v>1615</v>
      </c>
      <c r="D258" s="244"/>
      <c r="J258" s="129">
        <f t="shared" si="3"/>
        <v>256</v>
      </c>
      <c r="K258" s="130" t="s">
        <v>1663</v>
      </c>
      <c r="L258" s="130"/>
      <c r="M258" s="130"/>
      <c r="N258" s="129"/>
      <c r="O258" s="131"/>
      <c r="P258" s="131"/>
      <c r="Q258" s="131"/>
      <c r="R258" s="130" t="s">
        <v>1662</v>
      </c>
      <c r="S258" s="130" t="s">
        <v>1663</v>
      </c>
      <c r="T258" s="131"/>
      <c r="U258" s="130"/>
      <c r="V258" s="131"/>
    </row>
    <row r="259" spans="1:22" ht="21.75" thickBot="1">
      <c r="A259" s="241" t="s">
        <v>1616</v>
      </c>
      <c r="B259" s="242" t="s">
        <v>1383</v>
      </c>
      <c r="C259" s="243" t="s">
        <v>1617</v>
      </c>
      <c r="D259" s="244"/>
      <c r="J259" s="129">
        <f t="shared" si="3"/>
        <v>257</v>
      </c>
      <c r="K259" s="130" t="s">
        <v>1665</v>
      </c>
      <c r="L259" s="130"/>
      <c r="M259" s="130"/>
      <c r="N259" s="129"/>
      <c r="O259" s="131"/>
      <c r="P259" s="131"/>
      <c r="Q259" s="131"/>
      <c r="R259" s="130" t="s">
        <v>1664</v>
      </c>
      <c r="S259" s="130" t="s">
        <v>1665</v>
      </c>
      <c r="T259" s="131"/>
      <c r="U259" s="130"/>
      <c r="V259" s="131"/>
    </row>
    <row r="260" spans="1:22" ht="21.75" thickBot="1">
      <c r="A260" s="241" t="s">
        <v>1618</v>
      </c>
      <c r="B260" s="242" t="s">
        <v>1383</v>
      </c>
      <c r="C260" s="243" t="s">
        <v>1619</v>
      </c>
      <c r="D260" s="244"/>
      <c r="J260" s="129">
        <f t="shared" si="3"/>
        <v>258</v>
      </c>
      <c r="K260" s="130" t="s">
        <v>1667</v>
      </c>
      <c r="L260" s="130"/>
      <c r="M260" s="130"/>
      <c r="N260" s="129"/>
      <c r="O260" s="131"/>
      <c r="P260" s="131"/>
      <c r="Q260" s="131"/>
      <c r="R260" s="130" t="s">
        <v>1666</v>
      </c>
      <c r="S260" s="130" t="s">
        <v>1667</v>
      </c>
      <c r="T260" s="131"/>
      <c r="U260" s="130"/>
      <c r="V260" s="131"/>
    </row>
    <row r="261" spans="1:22" ht="21.75" thickBot="1">
      <c r="A261" s="241" t="s">
        <v>1620</v>
      </c>
      <c r="B261" s="242" t="s">
        <v>1383</v>
      </c>
      <c r="C261" s="243" t="s">
        <v>1621</v>
      </c>
      <c r="D261" s="244"/>
      <c r="J261" s="129">
        <f t="shared" ref="J261:J322" si="4">J260+1</f>
        <v>259</v>
      </c>
      <c r="K261" s="130" t="s">
        <v>1669</v>
      </c>
      <c r="L261" s="130"/>
      <c r="M261" s="130"/>
      <c r="N261" s="129"/>
      <c r="O261" s="131"/>
      <c r="P261" s="131"/>
      <c r="Q261" s="131"/>
      <c r="R261" s="130" t="s">
        <v>1668</v>
      </c>
      <c r="S261" s="130" t="s">
        <v>1669</v>
      </c>
      <c r="T261" s="131"/>
      <c r="U261" s="130"/>
      <c r="V261" s="131"/>
    </row>
    <row r="262" spans="1:22" ht="21.75" thickBot="1">
      <c r="A262" s="241" t="s">
        <v>1622</v>
      </c>
      <c r="B262" s="242" t="s">
        <v>1383</v>
      </c>
      <c r="C262" s="243" t="s">
        <v>1623</v>
      </c>
      <c r="D262" s="244"/>
      <c r="J262" s="129">
        <f t="shared" si="4"/>
        <v>260</v>
      </c>
      <c r="K262" s="130" t="s">
        <v>1671</v>
      </c>
      <c r="L262" s="130"/>
      <c r="M262" s="130"/>
      <c r="N262" s="129"/>
      <c r="O262" s="131"/>
      <c r="P262" s="131"/>
      <c r="Q262" s="131"/>
      <c r="R262" s="130" t="s">
        <v>1670</v>
      </c>
      <c r="S262" s="130" t="s">
        <v>1671</v>
      </c>
      <c r="T262" s="131"/>
      <c r="U262" s="130"/>
      <c r="V262" s="131"/>
    </row>
    <row r="263" spans="1:22" ht="21.75" thickBot="1">
      <c r="A263" s="241" t="s">
        <v>1624</v>
      </c>
      <c r="B263" s="242" t="s">
        <v>1383</v>
      </c>
      <c r="C263" s="243" t="s">
        <v>1625</v>
      </c>
      <c r="D263" s="244"/>
      <c r="J263" s="129">
        <f t="shared" si="4"/>
        <v>261</v>
      </c>
      <c r="K263" s="130" t="s">
        <v>1673</v>
      </c>
      <c r="L263" s="130"/>
      <c r="M263" s="130"/>
      <c r="N263" s="129"/>
      <c r="O263" s="131"/>
      <c r="P263" s="131"/>
      <c r="Q263" s="131"/>
      <c r="R263" s="130" t="s">
        <v>1672</v>
      </c>
      <c r="S263" s="130" t="s">
        <v>1673</v>
      </c>
      <c r="T263" s="131"/>
      <c r="U263" s="130"/>
      <c r="V263" s="131"/>
    </row>
    <row r="264" spans="1:22" ht="27.75" thickBot="1">
      <c r="A264" s="241" t="s">
        <v>1626</v>
      </c>
      <c r="B264" s="242" t="s">
        <v>1383</v>
      </c>
      <c r="C264" s="243" t="s">
        <v>1627</v>
      </c>
      <c r="D264" s="244"/>
      <c r="J264" s="129">
        <f t="shared" si="4"/>
        <v>262</v>
      </c>
      <c r="K264" s="130" t="s">
        <v>1675</v>
      </c>
      <c r="L264" s="130"/>
      <c r="M264" s="130"/>
      <c r="N264" s="129"/>
      <c r="O264" s="131"/>
      <c r="P264" s="131"/>
      <c r="Q264" s="131"/>
      <c r="R264" s="130" t="s">
        <v>1674</v>
      </c>
      <c r="S264" s="130" t="s">
        <v>1675</v>
      </c>
      <c r="T264" s="131"/>
      <c r="U264" s="130"/>
      <c r="V264" s="131"/>
    </row>
    <row r="265" spans="1:22" ht="21.75" thickBot="1">
      <c r="A265" s="241" t="s">
        <v>1628</v>
      </c>
      <c r="B265" s="242" t="s">
        <v>1383</v>
      </c>
      <c r="C265" s="243" t="s">
        <v>1629</v>
      </c>
      <c r="D265" s="244"/>
      <c r="J265" s="129">
        <f t="shared" si="4"/>
        <v>263</v>
      </c>
      <c r="K265" s="130" t="s">
        <v>1677</v>
      </c>
      <c r="L265" s="130"/>
      <c r="M265" s="130"/>
      <c r="N265" s="129"/>
      <c r="O265" s="131"/>
      <c r="P265" s="131"/>
      <c r="Q265" s="131"/>
      <c r="R265" s="130" t="s">
        <v>1676</v>
      </c>
      <c r="S265" s="130" t="s">
        <v>1677</v>
      </c>
      <c r="T265" s="131"/>
      <c r="U265" s="130"/>
      <c r="V265" s="131"/>
    </row>
    <row r="266" spans="1:22" ht="21.75" thickBot="1">
      <c r="A266" s="241" t="s">
        <v>1630</v>
      </c>
      <c r="B266" s="242" t="s">
        <v>1383</v>
      </c>
      <c r="C266" s="243" t="s">
        <v>1631</v>
      </c>
      <c r="D266" s="244"/>
      <c r="J266" s="129">
        <f t="shared" si="4"/>
        <v>264</v>
      </c>
      <c r="K266" s="130" t="s">
        <v>1679</v>
      </c>
      <c r="L266" s="130"/>
      <c r="M266" s="130"/>
      <c r="N266" s="129"/>
      <c r="O266" s="131"/>
      <c r="P266" s="131"/>
      <c r="Q266" s="131"/>
      <c r="R266" s="130" t="s">
        <v>1678</v>
      </c>
      <c r="S266" s="130" t="s">
        <v>1679</v>
      </c>
      <c r="T266" s="131"/>
      <c r="U266" s="130"/>
      <c r="V266" s="131"/>
    </row>
    <row r="267" spans="1:22" ht="21.75" thickBot="1">
      <c r="A267" s="241" t="s">
        <v>1632</v>
      </c>
      <c r="B267" s="242" t="s">
        <v>1383</v>
      </c>
      <c r="C267" s="243" t="s">
        <v>1633</v>
      </c>
      <c r="D267" s="244"/>
      <c r="J267" s="129">
        <f t="shared" si="4"/>
        <v>265</v>
      </c>
      <c r="K267" s="130" t="s">
        <v>1681</v>
      </c>
      <c r="L267" s="130"/>
      <c r="M267" s="130"/>
      <c r="N267" s="129"/>
      <c r="O267" s="131"/>
      <c r="P267" s="131"/>
      <c r="Q267" s="131"/>
      <c r="R267" s="130" t="s">
        <v>1680</v>
      </c>
      <c r="S267" s="130" t="s">
        <v>1681</v>
      </c>
      <c r="T267" s="131"/>
      <c r="U267" s="130"/>
      <c r="V267" s="131"/>
    </row>
    <row r="268" spans="1:22" ht="21.75" thickBot="1">
      <c r="A268" s="241" t="s">
        <v>1634</v>
      </c>
      <c r="B268" s="242" t="s">
        <v>1383</v>
      </c>
      <c r="C268" s="243" t="s">
        <v>1635</v>
      </c>
      <c r="D268" s="244"/>
      <c r="J268" s="129">
        <f t="shared" si="4"/>
        <v>266</v>
      </c>
      <c r="K268" s="130" t="s">
        <v>1683</v>
      </c>
      <c r="L268" s="130"/>
      <c r="M268" s="130"/>
      <c r="N268" s="129"/>
      <c r="O268" s="131"/>
      <c r="P268" s="131"/>
      <c r="Q268" s="131"/>
      <c r="R268" s="130" t="s">
        <v>1682</v>
      </c>
      <c r="S268" s="130" t="s">
        <v>1683</v>
      </c>
      <c r="T268" s="131"/>
      <c r="U268" s="130"/>
      <c r="V268" s="131"/>
    </row>
    <row r="269" spans="1:22" ht="21.75" thickBot="1">
      <c r="A269" s="241" t="s">
        <v>1636</v>
      </c>
      <c r="B269" s="242" t="s">
        <v>1383</v>
      </c>
      <c r="C269" s="243" t="s">
        <v>1637</v>
      </c>
      <c r="D269" s="244"/>
      <c r="J269" s="129">
        <f t="shared" si="4"/>
        <v>267</v>
      </c>
      <c r="K269" s="130" t="s">
        <v>1685</v>
      </c>
      <c r="L269" s="130"/>
      <c r="M269" s="130"/>
      <c r="N269" s="129"/>
      <c r="O269" s="131"/>
      <c r="P269" s="131"/>
      <c r="Q269" s="131"/>
      <c r="R269" s="130" t="s">
        <v>1684</v>
      </c>
      <c r="S269" s="130" t="s">
        <v>1685</v>
      </c>
      <c r="T269" s="131"/>
      <c r="U269" s="130"/>
      <c r="V269" s="131"/>
    </row>
    <row r="270" spans="1:22" ht="21.75" thickBot="1">
      <c r="A270" s="241" t="s">
        <v>1638</v>
      </c>
      <c r="B270" s="242" t="s">
        <v>1383</v>
      </c>
      <c r="C270" s="243" t="s">
        <v>1639</v>
      </c>
      <c r="D270" s="244"/>
      <c r="J270" s="129">
        <f t="shared" si="4"/>
        <v>268</v>
      </c>
      <c r="K270" s="130" t="s">
        <v>1687</v>
      </c>
      <c r="L270" s="130"/>
      <c r="M270" s="130"/>
      <c r="N270" s="129"/>
      <c r="O270" s="131"/>
      <c r="P270" s="131"/>
      <c r="Q270" s="131"/>
      <c r="R270" s="130" t="s">
        <v>1686</v>
      </c>
      <c r="S270" s="130" t="s">
        <v>1687</v>
      </c>
      <c r="T270" s="131"/>
      <c r="U270" s="130"/>
      <c r="V270" s="131"/>
    </row>
    <row r="271" spans="1:22" ht="21.75" thickBot="1">
      <c r="A271" s="241" t="s">
        <v>1640</v>
      </c>
      <c r="B271" s="242" t="s">
        <v>1383</v>
      </c>
      <c r="C271" s="243" t="s">
        <v>1641</v>
      </c>
      <c r="D271" s="244"/>
      <c r="J271" s="129">
        <f t="shared" si="4"/>
        <v>269</v>
      </c>
      <c r="K271" s="130" t="s">
        <v>1689</v>
      </c>
      <c r="L271" s="130"/>
      <c r="M271" s="130"/>
      <c r="N271" s="129"/>
      <c r="O271" s="131"/>
      <c r="P271" s="131"/>
      <c r="Q271" s="131"/>
      <c r="R271" s="130" t="s">
        <v>1688</v>
      </c>
      <c r="S271" s="130" t="s">
        <v>1689</v>
      </c>
      <c r="T271" s="131"/>
      <c r="U271" s="130"/>
      <c r="V271" s="131"/>
    </row>
    <row r="272" spans="1:22" ht="21.75" thickBot="1">
      <c r="A272" s="241" t="s">
        <v>1642</v>
      </c>
      <c r="B272" s="242" t="s">
        <v>1383</v>
      </c>
      <c r="C272" s="243" t="s">
        <v>1643</v>
      </c>
      <c r="D272" s="244"/>
      <c r="J272" s="129">
        <f t="shared" si="4"/>
        <v>270</v>
      </c>
      <c r="K272" s="130" t="s">
        <v>1691</v>
      </c>
      <c r="L272" s="130"/>
      <c r="M272" s="130"/>
      <c r="N272" s="129"/>
      <c r="O272" s="131"/>
      <c r="P272" s="131"/>
      <c r="Q272" s="131"/>
      <c r="R272" s="130" t="s">
        <v>1690</v>
      </c>
      <c r="S272" s="130" t="s">
        <v>1691</v>
      </c>
      <c r="T272" s="131"/>
      <c r="U272" s="130"/>
      <c r="V272" s="131"/>
    </row>
    <row r="273" spans="1:22" ht="21.75" thickBot="1">
      <c r="A273" s="241" t="s">
        <v>1644</v>
      </c>
      <c r="B273" s="242" t="s">
        <v>1383</v>
      </c>
      <c r="C273" s="243" t="s">
        <v>1645</v>
      </c>
      <c r="D273" s="244"/>
      <c r="J273" s="129">
        <f t="shared" si="4"/>
        <v>271</v>
      </c>
      <c r="K273" s="130" t="s">
        <v>1693</v>
      </c>
      <c r="L273" s="130"/>
      <c r="M273" s="130"/>
      <c r="N273" s="129"/>
      <c r="O273" s="131"/>
      <c r="P273" s="131"/>
      <c r="Q273" s="131"/>
      <c r="R273" s="130" t="s">
        <v>1692</v>
      </c>
      <c r="S273" s="130" t="s">
        <v>1693</v>
      </c>
      <c r="T273" s="131"/>
      <c r="U273" s="130"/>
      <c r="V273" s="131"/>
    </row>
    <row r="274" spans="1:22" ht="21.75" thickBot="1">
      <c r="A274" s="241" t="s">
        <v>1646</v>
      </c>
      <c r="B274" s="242" t="s">
        <v>1383</v>
      </c>
      <c r="C274" s="243" t="s">
        <v>1647</v>
      </c>
      <c r="D274" s="244"/>
      <c r="J274" s="129">
        <f t="shared" si="4"/>
        <v>272</v>
      </c>
      <c r="K274" s="130" t="s">
        <v>1695</v>
      </c>
      <c r="L274" s="130"/>
      <c r="M274" s="130"/>
      <c r="N274" s="129"/>
      <c r="O274" s="131"/>
      <c r="P274" s="131"/>
      <c r="Q274" s="131"/>
      <c r="R274" s="130" t="s">
        <v>1694</v>
      </c>
      <c r="S274" s="130" t="s">
        <v>1695</v>
      </c>
      <c r="T274" s="131"/>
      <c r="U274" s="130"/>
      <c r="V274" s="131"/>
    </row>
    <row r="275" spans="1:22" ht="21.75" thickBot="1">
      <c r="A275" s="241" t="s">
        <v>1648</v>
      </c>
      <c r="B275" s="242" t="s">
        <v>1383</v>
      </c>
      <c r="C275" s="243" t="s">
        <v>1649</v>
      </c>
      <c r="D275" s="244"/>
      <c r="J275" s="129">
        <f t="shared" si="4"/>
        <v>273</v>
      </c>
      <c r="K275" s="130" t="s">
        <v>1697</v>
      </c>
      <c r="L275" s="130"/>
      <c r="M275" s="130"/>
      <c r="N275" s="129"/>
      <c r="O275" s="131"/>
      <c r="P275" s="131"/>
      <c r="Q275" s="131"/>
      <c r="R275" s="130" t="s">
        <v>1696</v>
      </c>
      <c r="S275" s="130" t="s">
        <v>1697</v>
      </c>
      <c r="T275" s="131"/>
      <c r="U275" s="130"/>
      <c r="V275" s="131"/>
    </row>
    <row r="276" spans="1:22" ht="21.75" thickBot="1">
      <c r="A276" s="241" t="s">
        <v>1650</v>
      </c>
      <c r="B276" s="242" t="s">
        <v>1383</v>
      </c>
      <c r="C276" s="243" t="s">
        <v>1651</v>
      </c>
      <c r="D276" s="244"/>
      <c r="J276" s="129">
        <f t="shared" si="4"/>
        <v>274</v>
      </c>
      <c r="K276" s="130" t="s">
        <v>1699</v>
      </c>
      <c r="L276" s="130"/>
      <c r="M276" s="130"/>
      <c r="N276" s="129"/>
      <c r="O276" s="131"/>
      <c r="P276" s="131"/>
      <c r="Q276" s="131"/>
      <c r="R276" s="130" t="s">
        <v>1698</v>
      </c>
      <c r="S276" s="130" t="s">
        <v>1699</v>
      </c>
      <c r="T276" s="131"/>
      <c r="U276" s="130"/>
      <c r="V276" s="131"/>
    </row>
    <row r="277" spans="1:22" ht="21.75" thickBot="1">
      <c r="A277" s="241" t="s">
        <v>1652</v>
      </c>
      <c r="B277" s="242" t="s">
        <v>1383</v>
      </c>
      <c r="C277" s="243" t="s">
        <v>1653</v>
      </c>
      <c r="D277" s="244"/>
      <c r="J277" s="129">
        <f t="shared" si="4"/>
        <v>275</v>
      </c>
      <c r="K277" s="130" t="s">
        <v>1701</v>
      </c>
      <c r="L277" s="130"/>
      <c r="M277" s="130"/>
      <c r="N277" s="129"/>
      <c r="O277" s="131"/>
      <c r="P277" s="131"/>
      <c r="Q277" s="131"/>
      <c r="R277" s="130" t="s">
        <v>1700</v>
      </c>
      <c r="S277" s="130" t="s">
        <v>1701</v>
      </c>
      <c r="T277" s="131"/>
      <c r="U277" s="130"/>
      <c r="V277" s="131"/>
    </row>
    <row r="278" spans="1:22" ht="21.75" thickBot="1">
      <c r="A278" s="241" t="s">
        <v>1654</v>
      </c>
      <c r="B278" s="242" t="s">
        <v>1383</v>
      </c>
      <c r="C278" s="243" t="s">
        <v>1655</v>
      </c>
      <c r="D278" s="244"/>
      <c r="J278" s="129">
        <f t="shared" si="4"/>
        <v>276</v>
      </c>
      <c r="K278" s="130" t="s">
        <v>1703</v>
      </c>
      <c r="L278" s="130"/>
      <c r="M278" s="130"/>
      <c r="N278" s="129"/>
      <c r="O278" s="131"/>
      <c r="P278" s="131"/>
      <c r="Q278" s="131"/>
      <c r="R278" s="130" t="s">
        <v>1702</v>
      </c>
      <c r="S278" s="130" t="s">
        <v>1703</v>
      </c>
      <c r="T278" s="131"/>
      <c r="U278" s="130"/>
      <c r="V278" s="131"/>
    </row>
    <row r="279" spans="1:22" ht="21.75" thickBot="1">
      <c r="A279" s="241" t="s">
        <v>1656</v>
      </c>
      <c r="B279" s="242" t="s">
        <v>1383</v>
      </c>
      <c r="C279" s="243" t="s">
        <v>1657</v>
      </c>
      <c r="D279" s="244"/>
      <c r="J279" s="129">
        <f t="shared" si="4"/>
        <v>277</v>
      </c>
      <c r="K279" s="130" t="s">
        <v>1705</v>
      </c>
      <c r="L279" s="130"/>
      <c r="M279" s="130"/>
      <c r="N279" s="129"/>
      <c r="O279" s="131"/>
      <c r="P279" s="131"/>
      <c r="Q279" s="131"/>
      <c r="R279" s="130" t="s">
        <v>1704</v>
      </c>
      <c r="S279" s="130" t="s">
        <v>1705</v>
      </c>
      <c r="T279" s="131"/>
      <c r="U279" s="130"/>
      <c r="V279" s="131"/>
    </row>
    <row r="280" spans="1:22" ht="21.75" thickBot="1">
      <c r="A280" s="241" t="s">
        <v>1658</v>
      </c>
      <c r="B280" s="242" t="s">
        <v>1383</v>
      </c>
      <c r="C280" s="243" t="s">
        <v>1659</v>
      </c>
      <c r="D280" s="244"/>
      <c r="J280" s="129">
        <f t="shared" si="4"/>
        <v>278</v>
      </c>
      <c r="K280" s="130" t="s">
        <v>1707</v>
      </c>
      <c r="L280" s="130"/>
      <c r="M280" s="130"/>
      <c r="N280" s="129"/>
      <c r="O280" s="131"/>
      <c r="P280" s="131"/>
      <c r="Q280" s="131"/>
      <c r="R280" s="130" t="s">
        <v>1706</v>
      </c>
      <c r="S280" s="130" t="s">
        <v>1707</v>
      </c>
      <c r="T280" s="131"/>
      <c r="U280" s="130"/>
      <c r="V280" s="131"/>
    </row>
    <row r="281" spans="1:22" ht="21.75" thickBot="1">
      <c r="A281" s="241" t="s">
        <v>1660</v>
      </c>
      <c r="B281" s="242" t="s">
        <v>1383</v>
      </c>
      <c r="C281" s="243" t="s">
        <v>1661</v>
      </c>
      <c r="D281" s="244"/>
      <c r="J281" s="129">
        <f t="shared" si="4"/>
        <v>279</v>
      </c>
      <c r="K281" s="130" t="s">
        <v>1709</v>
      </c>
      <c r="L281" s="130"/>
      <c r="M281" s="130"/>
      <c r="N281" s="129"/>
      <c r="O281" s="131"/>
      <c r="P281" s="131"/>
      <c r="Q281" s="131"/>
      <c r="R281" s="130" t="s">
        <v>1708</v>
      </c>
      <c r="S281" s="130" t="s">
        <v>1709</v>
      </c>
      <c r="T281" s="131"/>
      <c r="U281" s="130"/>
      <c r="V281" s="131"/>
    </row>
    <row r="282" spans="1:22" ht="21.75" thickBot="1">
      <c r="A282" s="241" t="s">
        <v>1662</v>
      </c>
      <c r="B282" s="242" t="s">
        <v>1383</v>
      </c>
      <c r="C282" s="243" t="s">
        <v>1663</v>
      </c>
      <c r="D282" s="244"/>
      <c r="J282" s="129">
        <f t="shared" si="4"/>
        <v>280</v>
      </c>
      <c r="K282" s="130" t="s">
        <v>1711</v>
      </c>
      <c r="L282" s="130"/>
      <c r="M282" s="130"/>
      <c r="N282" s="129"/>
      <c r="O282" s="131"/>
      <c r="P282" s="131"/>
      <c r="Q282" s="131"/>
      <c r="R282" s="130" t="s">
        <v>1710</v>
      </c>
      <c r="S282" s="130" t="s">
        <v>1711</v>
      </c>
      <c r="T282" s="131"/>
      <c r="U282" s="130"/>
      <c r="V282" s="131"/>
    </row>
    <row r="283" spans="1:22" ht="21.75" thickBot="1">
      <c r="A283" s="241" t="s">
        <v>1664</v>
      </c>
      <c r="B283" s="242" t="s">
        <v>1383</v>
      </c>
      <c r="C283" s="243" t="s">
        <v>1665</v>
      </c>
      <c r="D283" s="244"/>
      <c r="J283" s="129">
        <f t="shared" si="4"/>
        <v>281</v>
      </c>
      <c r="K283" s="130" t="s">
        <v>1713</v>
      </c>
      <c r="L283" s="130"/>
      <c r="M283" s="130"/>
      <c r="N283" s="129"/>
      <c r="O283" s="131"/>
      <c r="P283" s="131"/>
      <c r="Q283" s="131"/>
      <c r="R283" s="130" t="s">
        <v>1712</v>
      </c>
      <c r="S283" s="130" t="s">
        <v>1713</v>
      </c>
      <c r="T283" s="131"/>
      <c r="U283" s="130"/>
      <c r="V283" s="131"/>
    </row>
    <row r="284" spans="1:22" ht="21.75" thickBot="1">
      <c r="A284" s="241" t="s">
        <v>1666</v>
      </c>
      <c r="B284" s="242" t="s">
        <v>1383</v>
      </c>
      <c r="C284" s="243" t="s">
        <v>1667</v>
      </c>
      <c r="D284" s="244"/>
      <c r="J284" s="129">
        <f t="shared" si="4"/>
        <v>282</v>
      </c>
      <c r="K284" s="130" t="s">
        <v>1715</v>
      </c>
      <c r="L284" s="130"/>
      <c r="M284" s="130"/>
      <c r="N284" s="129"/>
      <c r="O284" s="131"/>
      <c r="P284" s="131"/>
      <c r="Q284" s="131"/>
      <c r="R284" s="130" t="s">
        <v>1714</v>
      </c>
      <c r="S284" s="130" t="s">
        <v>1715</v>
      </c>
      <c r="T284" s="131"/>
      <c r="U284" s="130"/>
      <c r="V284" s="131"/>
    </row>
    <row r="285" spans="1:22" ht="21.75" thickBot="1">
      <c r="A285" s="241" t="s">
        <v>1668</v>
      </c>
      <c r="B285" s="242" t="s">
        <v>1383</v>
      </c>
      <c r="C285" s="243" t="s">
        <v>1669</v>
      </c>
      <c r="D285" s="244"/>
      <c r="J285" s="129">
        <f t="shared" si="4"/>
        <v>283</v>
      </c>
      <c r="K285" s="130" t="s">
        <v>1717</v>
      </c>
      <c r="L285" s="130"/>
      <c r="M285" s="130"/>
      <c r="N285" s="129"/>
      <c r="O285" s="131"/>
      <c r="P285" s="131"/>
      <c r="Q285" s="131"/>
      <c r="R285" s="130" t="s">
        <v>1716</v>
      </c>
      <c r="S285" s="130" t="s">
        <v>1717</v>
      </c>
      <c r="T285" s="131"/>
      <c r="U285" s="130"/>
      <c r="V285" s="131"/>
    </row>
    <row r="286" spans="1:22" ht="21.75" thickBot="1">
      <c r="A286" s="241" t="s">
        <v>1670</v>
      </c>
      <c r="B286" s="242" t="s">
        <v>1383</v>
      </c>
      <c r="C286" s="243" t="s">
        <v>1671</v>
      </c>
      <c r="D286" s="244"/>
      <c r="J286" s="129">
        <f t="shared" si="4"/>
        <v>284</v>
      </c>
      <c r="K286" s="130" t="s">
        <v>1719</v>
      </c>
      <c r="L286" s="130"/>
      <c r="M286" s="130"/>
      <c r="N286" s="129"/>
      <c r="O286" s="131"/>
      <c r="P286" s="131"/>
      <c r="Q286" s="131"/>
      <c r="R286" s="130" t="s">
        <v>1718</v>
      </c>
      <c r="S286" s="130" t="s">
        <v>1719</v>
      </c>
      <c r="T286" s="131"/>
      <c r="U286" s="130"/>
      <c r="V286" s="131"/>
    </row>
    <row r="287" spans="1:22" ht="21.75" thickBot="1">
      <c r="A287" s="241" t="s">
        <v>1672</v>
      </c>
      <c r="B287" s="242" t="s">
        <v>1383</v>
      </c>
      <c r="C287" s="243" t="s">
        <v>1673</v>
      </c>
      <c r="D287" s="244"/>
      <c r="J287" s="129">
        <f t="shared" si="4"/>
        <v>285</v>
      </c>
      <c r="K287" s="130" t="s">
        <v>1721</v>
      </c>
      <c r="L287" s="130"/>
      <c r="M287" s="130"/>
      <c r="N287" s="129"/>
      <c r="O287" s="131"/>
      <c r="P287" s="131"/>
      <c r="Q287" s="131"/>
      <c r="R287" s="130" t="s">
        <v>1720</v>
      </c>
      <c r="S287" s="130" t="s">
        <v>1721</v>
      </c>
      <c r="T287" s="131"/>
      <c r="U287" s="130"/>
      <c r="V287" s="131"/>
    </row>
    <row r="288" spans="1:22" ht="21.75" thickBot="1">
      <c r="A288" s="241" t="s">
        <v>1674</v>
      </c>
      <c r="B288" s="242" t="s">
        <v>1383</v>
      </c>
      <c r="C288" s="243" t="s">
        <v>1675</v>
      </c>
      <c r="D288" s="244"/>
      <c r="J288" s="129">
        <f t="shared" si="4"/>
        <v>286</v>
      </c>
      <c r="K288" s="130" t="s">
        <v>1723</v>
      </c>
      <c r="L288" s="130"/>
      <c r="M288" s="130"/>
      <c r="N288" s="129"/>
      <c r="O288" s="131"/>
      <c r="P288" s="131"/>
      <c r="Q288" s="131"/>
      <c r="R288" s="130" t="s">
        <v>1722</v>
      </c>
      <c r="S288" s="130" t="s">
        <v>1723</v>
      </c>
      <c r="T288" s="131"/>
      <c r="U288" s="130"/>
      <c r="V288" s="131"/>
    </row>
    <row r="289" spans="1:22" ht="21.75" thickBot="1">
      <c r="A289" s="241" t="s">
        <v>1676</v>
      </c>
      <c r="B289" s="242" t="s">
        <v>1383</v>
      </c>
      <c r="C289" s="243" t="s">
        <v>1677</v>
      </c>
      <c r="D289" s="244"/>
      <c r="J289" s="129">
        <f t="shared" si="4"/>
        <v>287</v>
      </c>
      <c r="K289" s="130" t="s">
        <v>1725</v>
      </c>
      <c r="L289" s="130"/>
      <c r="M289" s="130"/>
      <c r="N289" s="129"/>
      <c r="O289" s="131"/>
      <c r="P289" s="131"/>
      <c r="Q289" s="131"/>
      <c r="R289" s="130" t="s">
        <v>1724</v>
      </c>
      <c r="S289" s="130" t="s">
        <v>1725</v>
      </c>
      <c r="T289" s="131"/>
      <c r="U289" s="130"/>
      <c r="V289" s="131"/>
    </row>
    <row r="290" spans="1:22" ht="21.75" thickBot="1">
      <c r="A290" s="241" t="s">
        <v>1678</v>
      </c>
      <c r="B290" s="242" t="s">
        <v>1383</v>
      </c>
      <c r="C290" s="243" t="s">
        <v>1679</v>
      </c>
      <c r="D290" s="244"/>
      <c r="J290" s="129">
        <f t="shared" si="4"/>
        <v>288</v>
      </c>
      <c r="K290" s="130" t="s">
        <v>1727</v>
      </c>
      <c r="L290" s="130"/>
      <c r="M290" s="130"/>
      <c r="N290" s="129"/>
      <c r="O290" s="131"/>
      <c r="P290" s="131"/>
      <c r="Q290" s="131"/>
      <c r="R290" s="130" t="s">
        <v>1726</v>
      </c>
      <c r="S290" s="130" t="s">
        <v>1727</v>
      </c>
      <c r="T290" s="131"/>
      <c r="U290" s="130"/>
      <c r="V290" s="131"/>
    </row>
    <row r="291" spans="1:22" ht="21.75" thickBot="1">
      <c r="A291" s="241" t="s">
        <v>1680</v>
      </c>
      <c r="B291" s="242" t="s">
        <v>1383</v>
      </c>
      <c r="C291" s="243" t="s">
        <v>1681</v>
      </c>
      <c r="D291" s="244"/>
      <c r="J291" s="129">
        <f t="shared" si="4"/>
        <v>289</v>
      </c>
      <c r="K291" s="130" t="s">
        <v>1729</v>
      </c>
      <c r="L291" s="130"/>
      <c r="M291" s="130"/>
      <c r="N291" s="129"/>
      <c r="O291" s="131"/>
      <c r="P291" s="131"/>
      <c r="Q291" s="131"/>
      <c r="R291" s="130" t="s">
        <v>1728</v>
      </c>
      <c r="S291" s="130" t="s">
        <v>1729</v>
      </c>
      <c r="T291" s="131"/>
      <c r="U291" s="130"/>
      <c r="V291" s="131"/>
    </row>
    <row r="292" spans="1:22" ht="21.75" thickBot="1">
      <c r="A292" s="241" t="s">
        <v>1682</v>
      </c>
      <c r="B292" s="242" t="s">
        <v>1383</v>
      </c>
      <c r="C292" s="243" t="s">
        <v>1683</v>
      </c>
      <c r="D292" s="244"/>
      <c r="J292" s="129">
        <f t="shared" si="4"/>
        <v>290</v>
      </c>
      <c r="K292" s="130" t="s">
        <v>1731</v>
      </c>
      <c r="L292" s="130"/>
      <c r="M292" s="130"/>
      <c r="N292" s="129"/>
      <c r="O292" s="131"/>
      <c r="P292" s="131"/>
      <c r="Q292" s="131"/>
      <c r="R292" s="130" t="s">
        <v>1730</v>
      </c>
      <c r="S292" s="130" t="s">
        <v>1731</v>
      </c>
      <c r="T292" s="131"/>
      <c r="U292" s="130"/>
      <c r="V292" s="131"/>
    </row>
    <row r="293" spans="1:22" ht="21.75" thickBot="1">
      <c r="A293" s="241" t="s">
        <v>1684</v>
      </c>
      <c r="B293" s="242" t="s">
        <v>1383</v>
      </c>
      <c r="C293" s="243" t="s">
        <v>1685</v>
      </c>
      <c r="D293" s="244"/>
      <c r="J293" s="129">
        <f t="shared" si="4"/>
        <v>291</v>
      </c>
      <c r="K293" s="130" t="s">
        <v>1733</v>
      </c>
      <c r="L293" s="130"/>
      <c r="M293" s="130"/>
      <c r="N293" s="129"/>
      <c r="O293" s="131"/>
      <c r="P293" s="131"/>
      <c r="Q293" s="131"/>
      <c r="R293" s="130" t="s">
        <v>1732</v>
      </c>
      <c r="S293" s="130" t="s">
        <v>1733</v>
      </c>
      <c r="T293" s="131"/>
      <c r="U293" s="130"/>
      <c r="V293" s="131"/>
    </row>
    <row r="294" spans="1:22" ht="21.75" thickBot="1">
      <c r="A294" s="241" t="s">
        <v>1686</v>
      </c>
      <c r="B294" s="242" t="s">
        <v>1383</v>
      </c>
      <c r="C294" s="243" t="s">
        <v>1687</v>
      </c>
      <c r="D294" s="244"/>
      <c r="J294" s="129">
        <f t="shared" si="4"/>
        <v>292</v>
      </c>
      <c r="K294" s="130" t="s">
        <v>1735</v>
      </c>
      <c r="L294" s="130"/>
      <c r="M294" s="130"/>
      <c r="N294" s="129"/>
      <c r="O294" s="131"/>
      <c r="P294" s="131"/>
      <c r="Q294" s="131"/>
      <c r="R294" s="130" t="s">
        <v>1734</v>
      </c>
      <c r="S294" s="130" t="s">
        <v>1735</v>
      </c>
      <c r="T294" s="131"/>
      <c r="U294" s="130"/>
      <c r="V294" s="131"/>
    </row>
    <row r="295" spans="1:22" ht="21.75" thickBot="1">
      <c r="A295" s="241" t="s">
        <v>1688</v>
      </c>
      <c r="B295" s="242" t="s">
        <v>1383</v>
      </c>
      <c r="C295" s="243" t="s">
        <v>1689</v>
      </c>
      <c r="D295" s="244"/>
      <c r="J295" s="129">
        <f t="shared" si="4"/>
        <v>293</v>
      </c>
      <c r="K295" s="130" t="s">
        <v>1737</v>
      </c>
      <c r="L295" s="130"/>
      <c r="M295" s="130"/>
      <c r="N295" s="129"/>
      <c r="O295" s="131"/>
      <c r="P295" s="131"/>
      <c r="Q295" s="131"/>
      <c r="R295" s="130" t="s">
        <v>1736</v>
      </c>
      <c r="S295" s="130" t="s">
        <v>1737</v>
      </c>
      <c r="T295" s="131"/>
      <c r="U295" s="130"/>
      <c r="V295" s="131"/>
    </row>
    <row r="296" spans="1:22" ht="21.75" thickBot="1">
      <c r="A296" s="241" t="s">
        <v>1690</v>
      </c>
      <c r="B296" s="242" t="s">
        <v>1383</v>
      </c>
      <c r="C296" s="243" t="s">
        <v>1691</v>
      </c>
      <c r="D296" s="244"/>
      <c r="J296" s="129">
        <f t="shared" si="4"/>
        <v>294</v>
      </c>
      <c r="K296" s="130" t="s">
        <v>1739</v>
      </c>
      <c r="L296" s="130"/>
      <c r="M296" s="130"/>
      <c r="N296" s="129"/>
      <c r="O296" s="131"/>
      <c r="P296" s="131"/>
      <c r="Q296" s="131"/>
      <c r="R296" s="130" t="s">
        <v>1738</v>
      </c>
      <c r="S296" s="130" t="s">
        <v>1739</v>
      </c>
      <c r="T296" s="131"/>
      <c r="U296" s="130"/>
      <c r="V296" s="131"/>
    </row>
    <row r="297" spans="1:22" ht="21.75" thickBot="1">
      <c r="A297" s="241" t="s">
        <v>1692</v>
      </c>
      <c r="B297" s="242" t="s">
        <v>1383</v>
      </c>
      <c r="C297" s="243" t="s">
        <v>1693</v>
      </c>
      <c r="D297" s="244"/>
      <c r="J297" s="129">
        <f t="shared" si="4"/>
        <v>295</v>
      </c>
      <c r="K297" s="130" t="s">
        <v>1741</v>
      </c>
      <c r="L297" s="130"/>
      <c r="M297" s="130"/>
      <c r="N297" s="129"/>
      <c r="O297" s="131"/>
      <c r="P297" s="131"/>
      <c r="Q297" s="131"/>
      <c r="R297" s="130" t="s">
        <v>1740</v>
      </c>
      <c r="S297" s="130" t="s">
        <v>1741</v>
      </c>
      <c r="T297" s="131"/>
      <c r="U297" s="130"/>
      <c r="V297" s="131"/>
    </row>
    <row r="298" spans="1:22" ht="21.75" thickBot="1">
      <c r="A298" s="241" t="s">
        <v>1694</v>
      </c>
      <c r="B298" s="242" t="s">
        <v>1383</v>
      </c>
      <c r="C298" s="243" t="s">
        <v>1695</v>
      </c>
      <c r="D298" s="244"/>
      <c r="J298" s="129">
        <f t="shared" si="4"/>
        <v>296</v>
      </c>
      <c r="K298" s="130" t="s">
        <v>1743</v>
      </c>
      <c r="L298" s="130"/>
      <c r="M298" s="130"/>
      <c r="N298" s="129"/>
      <c r="O298" s="131"/>
      <c r="P298" s="131"/>
      <c r="Q298" s="131"/>
      <c r="R298" s="130" t="s">
        <v>1742</v>
      </c>
      <c r="S298" s="130" t="s">
        <v>1743</v>
      </c>
      <c r="T298" s="131"/>
      <c r="U298" s="130"/>
      <c r="V298" s="131"/>
    </row>
    <row r="299" spans="1:22" ht="21.75" thickBot="1">
      <c r="A299" s="241" t="s">
        <v>1696</v>
      </c>
      <c r="B299" s="242" t="s">
        <v>1383</v>
      </c>
      <c r="C299" s="243" t="s">
        <v>1697</v>
      </c>
      <c r="D299" s="244"/>
      <c r="J299" s="129">
        <f t="shared" si="4"/>
        <v>297</v>
      </c>
      <c r="K299" s="130" t="s">
        <v>1745</v>
      </c>
      <c r="L299" s="130"/>
      <c r="M299" s="130"/>
      <c r="N299" s="129"/>
      <c r="O299" s="131"/>
      <c r="P299" s="131"/>
      <c r="Q299" s="131"/>
      <c r="R299" s="130" t="s">
        <v>1744</v>
      </c>
      <c r="S299" s="130" t="s">
        <v>1745</v>
      </c>
      <c r="T299" s="131"/>
      <c r="U299" s="130"/>
      <c r="V299" s="131"/>
    </row>
    <row r="300" spans="1:22" ht="21.75" thickBot="1">
      <c r="A300" s="241" t="s">
        <v>1698</v>
      </c>
      <c r="B300" s="242" t="s">
        <v>1383</v>
      </c>
      <c r="C300" s="243" t="s">
        <v>1699</v>
      </c>
      <c r="D300" s="244"/>
      <c r="J300" s="129">
        <f t="shared" si="4"/>
        <v>298</v>
      </c>
      <c r="K300" s="130" t="s">
        <v>1747</v>
      </c>
      <c r="L300" s="130"/>
      <c r="M300" s="130"/>
      <c r="N300" s="129"/>
      <c r="O300" s="131"/>
      <c r="P300" s="131"/>
      <c r="Q300" s="131"/>
      <c r="R300" s="130" t="s">
        <v>1746</v>
      </c>
      <c r="S300" s="130" t="s">
        <v>1747</v>
      </c>
      <c r="T300" s="131"/>
      <c r="U300" s="130"/>
      <c r="V300" s="131"/>
    </row>
    <row r="301" spans="1:22" ht="21.75" thickBot="1">
      <c r="A301" s="241" t="s">
        <v>1700</v>
      </c>
      <c r="B301" s="242" t="s">
        <v>1383</v>
      </c>
      <c r="C301" s="243" t="s">
        <v>1701</v>
      </c>
      <c r="D301" s="244"/>
      <c r="J301" s="129">
        <f t="shared" si="4"/>
        <v>299</v>
      </c>
      <c r="K301" s="130" t="s">
        <v>1749</v>
      </c>
      <c r="L301" s="130"/>
      <c r="M301" s="130"/>
      <c r="N301" s="129"/>
      <c r="O301" s="131"/>
      <c r="P301" s="131"/>
      <c r="Q301" s="131"/>
      <c r="R301" s="130" t="s">
        <v>1748</v>
      </c>
      <c r="S301" s="130" t="s">
        <v>1749</v>
      </c>
      <c r="T301" s="131"/>
      <c r="U301" s="130"/>
      <c r="V301" s="131"/>
    </row>
    <row r="302" spans="1:22" ht="21.75" thickBot="1">
      <c r="A302" s="241" t="s">
        <v>1702</v>
      </c>
      <c r="B302" s="242" t="s">
        <v>1383</v>
      </c>
      <c r="C302" s="243" t="s">
        <v>1703</v>
      </c>
      <c r="D302" s="244"/>
      <c r="J302" s="129">
        <f t="shared" si="4"/>
        <v>300</v>
      </c>
      <c r="K302" s="130" t="s">
        <v>1751</v>
      </c>
      <c r="L302" s="130"/>
      <c r="M302" s="130"/>
      <c r="N302" s="129"/>
      <c r="O302" s="131"/>
      <c r="P302" s="131"/>
      <c r="Q302" s="131"/>
      <c r="R302" s="130" t="s">
        <v>1750</v>
      </c>
      <c r="S302" s="130" t="s">
        <v>1751</v>
      </c>
      <c r="T302" s="131"/>
      <c r="U302" s="130"/>
      <c r="V302" s="131"/>
    </row>
    <row r="303" spans="1:22" ht="21.75" thickBot="1">
      <c r="A303" s="241" t="s">
        <v>1704</v>
      </c>
      <c r="B303" s="242" t="s">
        <v>1383</v>
      </c>
      <c r="C303" s="243" t="s">
        <v>1705</v>
      </c>
      <c r="D303" s="244"/>
      <c r="J303" s="129">
        <f t="shared" si="4"/>
        <v>301</v>
      </c>
      <c r="K303" s="130" t="s">
        <v>1753</v>
      </c>
      <c r="L303" s="130"/>
      <c r="M303" s="130"/>
      <c r="N303" s="129"/>
      <c r="O303" s="131"/>
      <c r="P303" s="131"/>
      <c r="Q303" s="131"/>
      <c r="R303" s="130" t="s">
        <v>1752</v>
      </c>
      <c r="S303" s="130" t="s">
        <v>1753</v>
      </c>
      <c r="T303" s="131"/>
      <c r="U303" s="130"/>
      <c r="V303" s="131"/>
    </row>
    <row r="304" spans="1:22" ht="21.75" thickBot="1">
      <c r="A304" s="241" t="s">
        <v>1706</v>
      </c>
      <c r="B304" s="242" t="s">
        <v>1383</v>
      </c>
      <c r="C304" s="243" t="s">
        <v>1707</v>
      </c>
      <c r="D304" s="244"/>
      <c r="J304" s="129">
        <f t="shared" si="4"/>
        <v>302</v>
      </c>
      <c r="K304" s="130" t="s">
        <v>1755</v>
      </c>
      <c r="L304" s="130"/>
      <c r="M304" s="130"/>
      <c r="N304" s="129"/>
      <c r="O304" s="131"/>
      <c r="P304" s="131"/>
      <c r="Q304" s="131"/>
      <c r="R304" s="130" t="s">
        <v>1754</v>
      </c>
      <c r="S304" s="130" t="s">
        <v>1755</v>
      </c>
      <c r="T304" s="131"/>
      <c r="U304" s="130"/>
      <c r="V304" s="131"/>
    </row>
    <row r="305" spans="1:22" ht="21.75" thickBot="1">
      <c r="A305" s="241" t="s">
        <v>1708</v>
      </c>
      <c r="B305" s="242" t="s">
        <v>1383</v>
      </c>
      <c r="C305" s="243" t="s">
        <v>1709</v>
      </c>
      <c r="D305" s="244"/>
      <c r="J305" s="129">
        <f t="shared" si="4"/>
        <v>303</v>
      </c>
      <c r="K305" s="130" t="s">
        <v>1757</v>
      </c>
      <c r="L305" s="130"/>
      <c r="M305" s="130"/>
      <c r="N305" s="129"/>
      <c r="O305" s="131"/>
      <c r="P305" s="131"/>
      <c r="Q305" s="131"/>
      <c r="R305" s="130" t="s">
        <v>1756</v>
      </c>
      <c r="S305" s="130" t="s">
        <v>1757</v>
      </c>
      <c r="T305" s="131"/>
      <c r="U305" s="130"/>
      <c r="V305" s="131"/>
    </row>
    <row r="306" spans="1:22" ht="21.75" thickBot="1">
      <c r="A306" s="241" t="s">
        <v>1710</v>
      </c>
      <c r="B306" s="242" t="s">
        <v>1383</v>
      </c>
      <c r="C306" s="243" t="s">
        <v>1711</v>
      </c>
      <c r="D306" s="244"/>
      <c r="J306" s="129">
        <f t="shared" si="4"/>
        <v>304</v>
      </c>
      <c r="K306" s="130" t="s">
        <v>1759</v>
      </c>
      <c r="L306" s="130"/>
      <c r="M306" s="130"/>
      <c r="N306" s="129"/>
      <c r="O306" s="131"/>
      <c r="P306" s="131"/>
      <c r="Q306" s="131"/>
      <c r="R306" s="130" t="s">
        <v>1758</v>
      </c>
      <c r="S306" s="130" t="s">
        <v>1759</v>
      </c>
      <c r="T306" s="131"/>
      <c r="U306" s="130"/>
      <c r="V306" s="131"/>
    </row>
    <row r="307" spans="1:22" ht="21.75" thickBot="1">
      <c r="A307" s="241" t="s">
        <v>1712</v>
      </c>
      <c r="B307" s="242" t="s">
        <v>1383</v>
      </c>
      <c r="C307" s="243" t="s">
        <v>1713</v>
      </c>
      <c r="D307" s="244"/>
      <c r="J307" s="129">
        <f t="shared" si="4"/>
        <v>305</v>
      </c>
      <c r="K307" s="130" t="s">
        <v>1761</v>
      </c>
      <c r="L307" s="130"/>
      <c r="M307" s="130"/>
      <c r="N307" s="129"/>
      <c r="O307" s="131"/>
      <c r="P307" s="131"/>
      <c r="Q307" s="131"/>
      <c r="R307" s="130" t="s">
        <v>1760</v>
      </c>
      <c r="S307" s="130" t="s">
        <v>1761</v>
      </c>
      <c r="T307" s="131"/>
      <c r="U307" s="130"/>
      <c r="V307" s="131"/>
    </row>
    <row r="308" spans="1:22" ht="21.75" thickBot="1">
      <c r="A308" s="241" t="s">
        <v>1714</v>
      </c>
      <c r="B308" s="242" t="s">
        <v>1383</v>
      </c>
      <c r="C308" s="243" t="s">
        <v>1715</v>
      </c>
      <c r="D308" s="244"/>
      <c r="J308" s="129">
        <f t="shared" si="4"/>
        <v>306</v>
      </c>
      <c r="K308" s="130" t="s">
        <v>1763</v>
      </c>
      <c r="L308" s="130"/>
      <c r="M308" s="130"/>
      <c r="N308" s="129"/>
      <c r="O308" s="131"/>
      <c r="P308" s="131"/>
      <c r="Q308" s="131"/>
      <c r="R308" s="130" t="s">
        <v>1762</v>
      </c>
      <c r="S308" s="130" t="s">
        <v>1763</v>
      </c>
      <c r="T308" s="131"/>
      <c r="U308" s="130"/>
      <c r="V308" s="131"/>
    </row>
    <row r="309" spans="1:22" ht="21.75" thickBot="1">
      <c r="A309" s="241" t="s">
        <v>1716</v>
      </c>
      <c r="B309" s="242" t="s">
        <v>1383</v>
      </c>
      <c r="C309" s="243" t="s">
        <v>1717</v>
      </c>
      <c r="D309" s="244"/>
      <c r="J309" s="129">
        <f t="shared" si="4"/>
        <v>307</v>
      </c>
      <c r="K309" s="130" t="s">
        <v>1765</v>
      </c>
      <c r="L309" s="130"/>
      <c r="M309" s="130"/>
      <c r="N309" s="129"/>
      <c r="O309" s="131"/>
      <c r="P309" s="131"/>
      <c r="Q309" s="131"/>
      <c r="R309" s="130" t="s">
        <v>1764</v>
      </c>
      <c r="S309" s="130" t="s">
        <v>1765</v>
      </c>
      <c r="T309" s="131"/>
      <c r="U309" s="130"/>
      <c r="V309" s="131"/>
    </row>
    <row r="310" spans="1:22" ht="21.75" thickBot="1">
      <c r="A310" s="241" t="s">
        <v>1718</v>
      </c>
      <c r="B310" s="242" t="s">
        <v>1383</v>
      </c>
      <c r="C310" s="243" t="s">
        <v>1719</v>
      </c>
      <c r="D310" s="244"/>
      <c r="J310" s="129">
        <f t="shared" si="4"/>
        <v>308</v>
      </c>
      <c r="K310" s="130" t="s">
        <v>1767</v>
      </c>
      <c r="L310" s="130"/>
      <c r="M310" s="130"/>
      <c r="N310" s="129"/>
      <c r="O310" s="131"/>
      <c r="P310" s="131"/>
      <c r="Q310" s="131"/>
      <c r="R310" s="130" t="s">
        <v>1766</v>
      </c>
      <c r="S310" s="130" t="s">
        <v>1767</v>
      </c>
      <c r="T310" s="131"/>
      <c r="U310" s="130"/>
      <c r="V310" s="131"/>
    </row>
    <row r="311" spans="1:22" ht="21.75" thickBot="1">
      <c r="A311" s="241" t="s">
        <v>1720</v>
      </c>
      <c r="B311" s="242" t="s">
        <v>1383</v>
      </c>
      <c r="C311" s="243" t="s">
        <v>1721</v>
      </c>
      <c r="D311" s="244"/>
      <c r="J311" s="129">
        <f t="shared" si="4"/>
        <v>309</v>
      </c>
      <c r="K311" s="130" t="s">
        <v>1769</v>
      </c>
      <c r="L311" s="130"/>
      <c r="M311" s="130"/>
      <c r="N311" s="129"/>
      <c r="O311" s="131"/>
      <c r="P311" s="131"/>
      <c r="Q311" s="131"/>
      <c r="R311" s="130" t="s">
        <v>1768</v>
      </c>
      <c r="S311" s="130" t="s">
        <v>1769</v>
      </c>
      <c r="T311" s="131"/>
      <c r="U311" s="130"/>
      <c r="V311" s="131"/>
    </row>
    <row r="312" spans="1:22" ht="21.75" thickBot="1">
      <c r="A312" s="241" t="s">
        <v>1722</v>
      </c>
      <c r="B312" s="242" t="s">
        <v>1383</v>
      </c>
      <c r="C312" s="243" t="s">
        <v>1723</v>
      </c>
      <c r="D312" s="244"/>
      <c r="J312" s="129">
        <f t="shared" si="4"/>
        <v>310</v>
      </c>
      <c r="K312" s="130" t="s">
        <v>1771</v>
      </c>
      <c r="L312" s="130"/>
      <c r="M312" s="130"/>
      <c r="N312" s="129"/>
      <c r="O312" s="131"/>
      <c r="P312" s="131"/>
      <c r="Q312" s="131"/>
      <c r="R312" s="130" t="s">
        <v>1770</v>
      </c>
      <c r="S312" s="130" t="s">
        <v>1771</v>
      </c>
      <c r="T312" s="131"/>
      <c r="U312" s="130"/>
      <c r="V312" s="131"/>
    </row>
    <row r="313" spans="1:22" ht="21.75" thickBot="1">
      <c r="A313" s="241" t="s">
        <v>1724</v>
      </c>
      <c r="B313" s="242" t="s">
        <v>1383</v>
      </c>
      <c r="C313" s="243" t="s">
        <v>1725</v>
      </c>
      <c r="D313" s="244"/>
      <c r="J313" s="129">
        <f t="shared" si="4"/>
        <v>311</v>
      </c>
      <c r="K313" s="130" t="s">
        <v>1773</v>
      </c>
      <c r="L313" s="130"/>
      <c r="M313" s="130"/>
      <c r="N313" s="129"/>
      <c r="O313" s="131"/>
      <c r="P313" s="131"/>
      <c r="Q313" s="131"/>
      <c r="R313" s="130" t="s">
        <v>1772</v>
      </c>
      <c r="S313" s="130" t="s">
        <v>1773</v>
      </c>
      <c r="T313" s="131"/>
      <c r="U313" s="130"/>
      <c r="V313" s="131"/>
    </row>
    <row r="314" spans="1:22" ht="21.75" thickBot="1">
      <c r="A314" s="241" t="s">
        <v>1726</v>
      </c>
      <c r="B314" s="242" t="s">
        <v>1383</v>
      </c>
      <c r="C314" s="243" t="s">
        <v>1727</v>
      </c>
      <c r="D314" s="244"/>
      <c r="J314" s="129">
        <f t="shared" si="4"/>
        <v>312</v>
      </c>
      <c r="K314" s="130" t="s">
        <v>1775</v>
      </c>
      <c r="L314" s="130"/>
      <c r="M314" s="130"/>
      <c r="N314" s="129"/>
      <c r="O314" s="131"/>
      <c r="P314" s="131"/>
      <c r="Q314" s="131"/>
      <c r="R314" s="130" t="s">
        <v>1774</v>
      </c>
      <c r="S314" s="130" t="s">
        <v>1775</v>
      </c>
      <c r="T314" s="131"/>
      <c r="U314" s="130"/>
      <c r="V314" s="131"/>
    </row>
    <row r="315" spans="1:22" ht="21.75" thickBot="1">
      <c r="A315" s="241" t="s">
        <v>1728</v>
      </c>
      <c r="B315" s="242" t="s">
        <v>1383</v>
      </c>
      <c r="C315" s="243" t="s">
        <v>1729</v>
      </c>
      <c r="D315" s="244"/>
      <c r="J315" s="129">
        <f t="shared" si="4"/>
        <v>313</v>
      </c>
      <c r="K315" s="130" t="s">
        <v>1777</v>
      </c>
      <c r="L315" s="130"/>
      <c r="M315" s="130"/>
      <c r="N315" s="129"/>
      <c r="O315" s="131"/>
      <c r="P315" s="131"/>
      <c r="Q315" s="131"/>
      <c r="R315" s="130" t="s">
        <v>1776</v>
      </c>
      <c r="S315" s="130" t="s">
        <v>1777</v>
      </c>
      <c r="T315" s="131"/>
      <c r="U315" s="130"/>
      <c r="V315" s="131"/>
    </row>
    <row r="316" spans="1:22" ht="21.75" thickBot="1">
      <c r="A316" s="241" t="s">
        <v>1730</v>
      </c>
      <c r="B316" s="242" t="s">
        <v>1383</v>
      </c>
      <c r="C316" s="243" t="s">
        <v>1731</v>
      </c>
      <c r="D316" s="244"/>
      <c r="J316" s="129">
        <f t="shared" si="4"/>
        <v>314</v>
      </c>
      <c r="K316" s="130" t="s">
        <v>1779</v>
      </c>
      <c r="L316" s="130"/>
      <c r="M316" s="130"/>
      <c r="N316" s="129"/>
      <c r="O316" s="131"/>
      <c r="P316" s="131"/>
      <c r="Q316" s="131"/>
      <c r="R316" s="130" t="s">
        <v>1778</v>
      </c>
      <c r="S316" s="130" t="s">
        <v>1779</v>
      </c>
      <c r="T316" s="131"/>
      <c r="U316" s="130"/>
      <c r="V316" s="131"/>
    </row>
    <row r="317" spans="1:22" ht="21.75" thickBot="1">
      <c r="A317" s="241" t="s">
        <v>1732</v>
      </c>
      <c r="B317" s="242" t="s">
        <v>1383</v>
      </c>
      <c r="C317" s="243" t="s">
        <v>1733</v>
      </c>
      <c r="D317" s="244"/>
      <c r="J317" s="129">
        <f t="shared" si="4"/>
        <v>315</v>
      </c>
      <c r="K317" s="130" t="s">
        <v>1781</v>
      </c>
      <c r="L317" s="130"/>
      <c r="M317" s="130"/>
      <c r="N317" s="129"/>
      <c r="O317" s="131"/>
      <c r="P317" s="131"/>
      <c r="Q317" s="131"/>
      <c r="R317" s="130" t="s">
        <v>1780</v>
      </c>
      <c r="S317" s="130" t="s">
        <v>1781</v>
      </c>
      <c r="T317" s="131"/>
      <c r="U317" s="130"/>
      <c r="V317" s="131"/>
    </row>
    <row r="318" spans="1:22" ht="21.75" thickBot="1">
      <c r="A318" s="241" t="s">
        <v>1734</v>
      </c>
      <c r="B318" s="242" t="s">
        <v>1383</v>
      </c>
      <c r="C318" s="243" t="s">
        <v>1735</v>
      </c>
      <c r="D318" s="244"/>
      <c r="J318" s="129">
        <f t="shared" si="4"/>
        <v>316</v>
      </c>
      <c r="K318" s="130" t="s">
        <v>1783</v>
      </c>
      <c r="L318" s="130"/>
      <c r="M318" s="130"/>
      <c r="N318" s="129"/>
      <c r="O318" s="131"/>
      <c r="P318" s="131"/>
      <c r="Q318" s="131"/>
      <c r="R318" s="130" t="s">
        <v>1782</v>
      </c>
      <c r="S318" s="130" t="s">
        <v>1783</v>
      </c>
      <c r="T318" s="131"/>
      <c r="U318" s="130"/>
      <c r="V318" s="131"/>
    </row>
    <row r="319" spans="1:22" ht="21.75" thickBot="1">
      <c r="A319" s="241" t="s">
        <v>1736</v>
      </c>
      <c r="B319" s="242" t="s">
        <v>1383</v>
      </c>
      <c r="C319" s="243" t="s">
        <v>1737</v>
      </c>
      <c r="D319" s="244"/>
      <c r="J319" s="129">
        <f t="shared" si="4"/>
        <v>317</v>
      </c>
      <c r="K319" s="130" t="s">
        <v>1785</v>
      </c>
      <c r="L319" s="130"/>
      <c r="M319" s="130"/>
      <c r="N319" s="129"/>
      <c r="O319" s="131"/>
      <c r="P319" s="131"/>
      <c r="Q319" s="131"/>
      <c r="R319" s="130" t="s">
        <v>1784</v>
      </c>
      <c r="S319" s="130" t="s">
        <v>1785</v>
      </c>
      <c r="T319" s="131"/>
      <c r="U319" s="130"/>
      <c r="V319" s="131"/>
    </row>
    <row r="320" spans="1:22" ht="21.75" thickBot="1">
      <c r="A320" s="241" t="s">
        <v>1738</v>
      </c>
      <c r="B320" s="242" t="s">
        <v>1383</v>
      </c>
      <c r="C320" s="243" t="s">
        <v>1739</v>
      </c>
      <c r="D320" s="244"/>
      <c r="J320" s="129">
        <f t="shared" si="4"/>
        <v>318</v>
      </c>
      <c r="K320" s="130" t="s">
        <v>1787</v>
      </c>
      <c r="L320" s="130"/>
      <c r="M320" s="130"/>
      <c r="N320" s="129"/>
      <c r="O320" s="131"/>
      <c r="P320" s="131"/>
      <c r="Q320" s="131"/>
      <c r="R320" s="130" t="s">
        <v>1786</v>
      </c>
      <c r="S320" s="130" t="s">
        <v>1787</v>
      </c>
      <c r="T320" s="131"/>
      <c r="U320" s="130"/>
      <c r="V320" s="131"/>
    </row>
    <row r="321" spans="1:22" ht="21.75" thickBot="1">
      <c r="A321" s="241" t="s">
        <v>1740</v>
      </c>
      <c r="B321" s="242" t="s">
        <v>1383</v>
      </c>
      <c r="C321" s="243" t="s">
        <v>1741</v>
      </c>
      <c r="D321" s="244"/>
      <c r="J321" s="129">
        <f t="shared" si="4"/>
        <v>319</v>
      </c>
      <c r="K321" s="130" t="s">
        <v>1789</v>
      </c>
      <c r="L321" s="130"/>
      <c r="M321" s="130"/>
      <c r="N321" s="129"/>
      <c r="O321" s="131"/>
      <c r="P321" s="131"/>
      <c r="Q321" s="131"/>
      <c r="R321" s="130" t="s">
        <v>1788</v>
      </c>
      <c r="S321" s="130" t="s">
        <v>1789</v>
      </c>
      <c r="T321" s="131"/>
      <c r="U321" s="130"/>
      <c r="V321" s="131"/>
    </row>
    <row r="322" spans="1:22" ht="21.75" thickBot="1">
      <c r="A322" s="241" t="s">
        <v>1742</v>
      </c>
      <c r="B322" s="242" t="s">
        <v>1383</v>
      </c>
      <c r="C322" s="243" t="s">
        <v>1743</v>
      </c>
      <c r="D322" s="244"/>
      <c r="J322" s="129">
        <f t="shared" si="4"/>
        <v>320</v>
      </c>
      <c r="K322" s="130" t="s">
        <v>1791</v>
      </c>
      <c r="L322" s="130"/>
      <c r="M322" s="130"/>
      <c r="N322" s="129"/>
      <c r="O322" s="131"/>
      <c r="P322" s="131"/>
      <c r="Q322" s="131"/>
      <c r="R322" s="130" t="s">
        <v>1790</v>
      </c>
      <c r="S322" s="130" t="s">
        <v>1791</v>
      </c>
      <c r="T322" s="131"/>
      <c r="U322" s="130"/>
      <c r="V322" s="131"/>
    </row>
    <row r="323" spans="1:22" ht="21.75" thickBot="1">
      <c r="A323" s="241" t="s">
        <v>1744</v>
      </c>
      <c r="B323" s="242" t="s">
        <v>1383</v>
      </c>
      <c r="C323" s="243" t="s">
        <v>1745</v>
      </c>
      <c r="D323" s="244"/>
    </row>
    <row r="324" spans="1:22" ht="21.75" thickBot="1">
      <c r="A324" s="241" t="s">
        <v>1746</v>
      </c>
      <c r="B324" s="242" t="s">
        <v>1383</v>
      </c>
      <c r="C324" s="243" t="s">
        <v>1747</v>
      </c>
      <c r="D324" s="244"/>
    </row>
    <row r="325" spans="1:22" ht="21.75" thickBot="1">
      <c r="A325" s="241" t="s">
        <v>1748</v>
      </c>
      <c r="B325" s="242" t="s">
        <v>1383</v>
      </c>
      <c r="C325" s="243" t="s">
        <v>1749</v>
      </c>
      <c r="D325" s="244"/>
    </row>
    <row r="326" spans="1:22" ht="21.75" thickBot="1">
      <c r="A326" s="241" t="s">
        <v>1750</v>
      </c>
      <c r="B326" s="242" t="s">
        <v>1383</v>
      </c>
      <c r="C326" s="243" t="s">
        <v>1751</v>
      </c>
      <c r="D326" s="244"/>
    </row>
    <row r="327" spans="1:22" ht="21.75" thickBot="1">
      <c r="A327" s="241" t="s">
        <v>1752</v>
      </c>
      <c r="B327" s="242" t="s">
        <v>1383</v>
      </c>
      <c r="C327" s="243" t="s">
        <v>1753</v>
      </c>
      <c r="D327" s="244"/>
    </row>
    <row r="328" spans="1:22" ht="21.75" thickBot="1">
      <c r="A328" s="241" t="s">
        <v>1754</v>
      </c>
      <c r="B328" s="242" t="s">
        <v>1383</v>
      </c>
      <c r="C328" s="243" t="s">
        <v>1755</v>
      </c>
      <c r="D328" s="244"/>
    </row>
    <row r="329" spans="1:22" ht="21.75" thickBot="1">
      <c r="A329" s="241" t="s">
        <v>1756</v>
      </c>
      <c r="B329" s="242" t="s">
        <v>1383</v>
      </c>
      <c r="C329" s="243" t="s">
        <v>1757</v>
      </c>
      <c r="D329" s="244"/>
    </row>
    <row r="330" spans="1:22" ht="21.75" thickBot="1">
      <c r="A330" s="241" t="s">
        <v>1758</v>
      </c>
      <c r="B330" s="242" t="s">
        <v>1383</v>
      </c>
      <c r="C330" s="243" t="s">
        <v>1759</v>
      </c>
      <c r="D330" s="244"/>
    </row>
    <row r="331" spans="1:22" ht="21.75" thickBot="1">
      <c r="A331" s="241" t="s">
        <v>1760</v>
      </c>
      <c r="B331" s="242" t="s">
        <v>1383</v>
      </c>
      <c r="C331" s="243" t="s">
        <v>1761</v>
      </c>
      <c r="D331" s="244"/>
    </row>
    <row r="332" spans="1:22" ht="21.75" thickBot="1">
      <c r="A332" s="241" t="s">
        <v>1762</v>
      </c>
      <c r="B332" s="242" t="s">
        <v>1383</v>
      </c>
      <c r="C332" s="243" t="s">
        <v>1763</v>
      </c>
      <c r="D332" s="244"/>
    </row>
    <row r="333" spans="1:22" ht="21.75" thickBot="1">
      <c r="A333" s="241" t="s">
        <v>1764</v>
      </c>
      <c r="B333" s="242" t="s">
        <v>1383</v>
      </c>
      <c r="C333" s="243" t="s">
        <v>1765</v>
      </c>
      <c r="D333" s="244"/>
    </row>
    <row r="334" spans="1:22" ht="21.75" thickBot="1">
      <c r="A334" s="241" t="s">
        <v>1766</v>
      </c>
      <c r="B334" s="242" t="s">
        <v>1383</v>
      </c>
      <c r="C334" s="243" t="s">
        <v>1767</v>
      </c>
      <c r="D334" s="244"/>
    </row>
    <row r="335" spans="1:22" ht="21.75" thickBot="1">
      <c r="A335" s="241" t="s">
        <v>1768</v>
      </c>
      <c r="B335" s="242" t="s">
        <v>1383</v>
      </c>
      <c r="C335" s="243" t="s">
        <v>1769</v>
      </c>
      <c r="D335" s="244"/>
    </row>
    <row r="336" spans="1:22" ht="21.75" thickBot="1">
      <c r="A336" s="241" t="s">
        <v>1770</v>
      </c>
      <c r="B336" s="242" t="s">
        <v>1383</v>
      </c>
      <c r="C336" s="243" t="s">
        <v>1771</v>
      </c>
      <c r="D336" s="244"/>
    </row>
    <row r="337" spans="1:4" ht="21.75" thickBot="1">
      <c r="A337" s="241" t="s">
        <v>1772</v>
      </c>
      <c r="B337" s="242" t="s">
        <v>1383</v>
      </c>
      <c r="C337" s="243" t="s">
        <v>1773</v>
      </c>
      <c r="D337" s="244"/>
    </row>
    <row r="338" spans="1:4" ht="21.75" thickBot="1">
      <c r="A338" s="241" t="s">
        <v>1774</v>
      </c>
      <c r="B338" s="242" t="s">
        <v>1383</v>
      </c>
      <c r="C338" s="243" t="s">
        <v>1775</v>
      </c>
      <c r="D338" s="244"/>
    </row>
    <row r="339" spans="1:4" ht="21.75" thickBot="1">
      <c r="A339" s="241" t="s">
        <v>1776</v>
      </c>
      <c r="B339" s="242" t="s">
        <v>1383</v>
      </c>
      <c r="C339" s="243" t="s">
        <v>1777</v>
      </c>
      <c r="D339" s="244"/>
    </row>
    <row r="340" spans="1:4" ht="21.75" thickBot="1">
      <c r="A340" s="241" t="s">
        <v>1778</v>
      </c>
      <c r="B340" s="242" t="s">
        <v>1383</v>
      </c>
      <c r="C340" s="243" t="s">
        <v>1779</v>
      </c>
      <c r="D340" s="244"/>
    </row>
    <row r="341" spans="1:4" ht="21.75" thickBot="1">
      <c r="A341" s="241" t="s">
        <v>1780</v>
      </c>
      <c r="B341" s="242" t="s">
        <v>1383</v>
      </c>
      <c r="C341" s="243" t="s">
        <v>1781</v>
      </c>
      <c r="D341" s="244"/>
    </row>
    <row r="342" spans="1:4" ht="21.75" thickBot="1">
      <c r="A342" s="241" t="s">
        <v>1782</v>
      </c>
      <c r="B342" s="242" t="s">
        <v>1383</v>
      </c>
      <c r="C342" s="243" t="s">
        <v>1783</v>
      </c>
      <c r="D342" s="244"/>
    </row>
    <row r="343" spans="1:4" ht="21.75" thickBot="1">
      <c r="A343" s="241" t="s">
        <v>1784</v>
      </c>
      <c r="B343" s="242" t="s">
        <v>1383</v>
      </c>
      <c r="C343" s="243" t="s">
        <v>1785</v>
      </c>
      <c r="D343" s="244"/>
    </row>
    <row r="344" spans="1:4" ht="21.75" thickBot="1">
      <c r="A344" s="241" t="s">
        <v>1786</v>
      </c>
      <c r="B344" s="242" t="s">
        <v>1383</v>
      </c>
      <c r="C344" s="243" t="s">
        <v>1787</v>
      </c>
      <c r="D344" s="244"/>
    </row>
    <row r="345" spans="1:4" ht="21.75" thickBot="1">
      <c r="A345" s="241" t="s">
        <v>1788</v>
      </c>
      <c r="B345" s="242" t="s">
        <v>1383</v>
      </c>
      <c r="C345" s="243" t="s">
        <v>1789</v>
      </c>
      <c r="D345" s="244"/>
    </row>
    <row r="346" spans="1:4" ht="21.75" thickBot="1">
      <c r="A346" s="245" t="s">
        <v>1790</v>
      </c>
      <c r="B346" s="246" t="s">
        <v>1383</v>
      </c>
      <c r="C346" s="247" t="s">
        <v>1791</v>
      </c>
      <c r="D346" s="248"/>
    </row>
  </sheetData>
  <phoneticPr fontId="1"/>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F08C3-1519-4E90-90C5-641830ED8E9D}">
  <sheetPr codeName="Sheet2"/>
  <dimension ref="A1:AC24"/>
  <sheetViews>
    <sheetView workbookViewId="0">
      <pane xSplit="2" ySplit="2" topLeftCell="C15" activePane="bottomRight" state="frozen"/>
      <selection pane="topRight" activeCell="C1" sqref="C1"/>
      <selection pane="bottomLeft" activeCell="A3" sqref="A3"/>
      <selection pane="bottomRight"/>
    </sheetView>
  </sheetViews>
  <sheetFormatPr defaultRowHeight="18.75"/>
  <cols>
    <col min="1" max="1" width="26.125" bestFit="1" customWidth="1"/>
    <col min="2" max="2" width="26.875" bestFit="1" customWidth="1"/>
    <col min="3" max="3" width="11.125" bestFit="1" customWidth="1"/>
    <col min="4" max="4" width="10.125" bestFit="1" customWidth="1"/>
    <col min="5" max="5" width="17" customWidth="1"/>
    <col min="6" max="6" width="29.875" style="3" customWidth="1"/>
    <col min="7" max="7" width="48" customWidth="1"/>
    <col min="8" max="8" width="17.375" bestFit="1" customWidth="1"/>
    <col min="9" max="9" width="44.625" customWidth="1"/>
    <col min="12" max="12" width="8.25" bestFit="1" customWidth="1"/>
    <col min="13" max="13" width="15.375" bestFit="1" customWidth="1"/>
    <col min="14" max="14" width="10.75" bestFit="1" customWidth="1"/>
    <col min="15" max="15" width="12.375" bestFit="1" customWidth="1"/>
    <col min="16" max="16" width="10" bestFit="1" customWidth="1"/>
    <col min="17" max="17" width="12.125" style="155" bestFit="1" customWidth="1"/>
    <col min="18" max="18" width="13.375" bestFit="1" customWidth="1"/>
    <col min="19" max="19" width="17" bestFit="1" customWidth="1"/>
    <col min="20" max="20" width="9.125" bestFit="1" customWidth="1"/>
    <col min="21" max="21" width="9.375" bestFit="1" customWidth="1"/>
    <col min="22" max="22" width="9.875" bestFit="1" customWidth="1"/>
    <col min="23" max="24" width="17.125" bestFit="1" customWidth="1"/>
    <col min="25" max="25" width="21.625" bestFit="1" customWidth="1"/>
    <col min="26" max="26" width="15.125" bestFit="1" customWidth="1"/>
    <col min="27" max="27" width="19.625" bestFit="1" customWidth="1"/>
    <col min="28" max="28" width="18.625" bestFit="1" customWidth="1"/>
    <col min="29" max="29" width="23.125" bestFit="1" customWidth="1"/>
  </cols>
  <sheetData>
    <row r="1" spans="1:29">
      <c r="A1" s="6" t="s">
        <v>64</v>
      </c>
      <c r="L1" s="6" t="s">
        <v>807</v>
      </c>
    </row>
    <row r="2" spans="1:29">
      <c r="A2" s="2" t="s">
        <v>0</v>
      </c>
      <c r="B2" s="2" t="s">
        <v>1</v>
      </c>
      <c r="C2" s="2" t="s">
        <v>2</v>
      </c>
      <c r="D2" s="2" t="s">
        <v>8</v>
      </c>
      <c r="E2" s="5" t="s">
        <v>151</v>
      </c>
      <c r="F2" s="5" t="s">
        <v>63</v>
      </c>
      <c r="G2" s="5" t="s">
        <v>145</v>
      </c>
      <c r="H2" s="5" t="s">
        <v>743</v>
      </c>
      <c r="I2" s="5" t="s">
        <v>85</v>
      </c>
      <c r="L2" s="156" t="s">
        <v>49</v>
      </c>
      <c r="M2" s="156" t="s">
        <v>657</v>
      </c>
      <c r="N2" s="156" t="s">
        <v>50</v>
      </c>
      <c r="O2" s="156" t="s">
        <v>51</v>
      </c>
      <c r="P2" s="156" t="s">
        <v>52</v>
      </c>
      <c r="Q2" s="157" t="s">
        <v>53</v>
      </c>
      <c r="R2" s="156" t="s">
        <v>834</v>
      </c>
      <c r="S2" s="156" t="s">
        <v>54</v>
      </c>
      <c r="T2" s="156" t="s">
        <v>55</v>
      </c>
      <c r="U2" s="156" t="s">
        <v>56</v>
      </c>
      <c r="V2" s="156" t="s">
        <v>57</v>
      </c>
      <c r="W2" s="156" t="s">
        <v>58</v>
      </c>
      <c r="X2" s="156" t="s">
        <v>59</v>
      </c>
      <c r="Y2" s="156" t="s">
        <v>661</v>
      </c>
      <c r="Z2" s="156" t="s">
        <v>60</v>
      </c>
      <c r="AA2" s="156" t="s">
        <v>835</v>
      </c>
      <c r="AB2" s="156" t="s">
        <v>61</v>
      </c>
      <c r="AC2" s="156" t="s">
        <v>62</v>
      </c>
    </row>
    <row r="3" spans="1:29" ht="37.5">
      <c r="A3" s="63" t="s">
        <v>49</v>
      </c>
      <c r="B3" s="63" t="s">
        <v>3</v>
      </c>
      <c r="C3" s="63"/>
      <c r="D3" s="63" t="s">
        <v>9</v>
      </c>
      <c r="E3" s="12" t="s">
        <v>148</v>
      </c>
      <c r="F3" s="15" t="s">
        <v>140</v>
      </c>
      <c r="G3" s="15" t="s">
        <v>146</v>
      </c>
      <c r="H3" s="15"/>
      <c r="I3" s="15"/>
      <c r="J3" s="17"/>
      <c r="L3" s="158">
        <v>1</v>
      </c>
      <c r="M3" s="158">
        <v>8532</v>
      </c>
      <c r="N3" s="158">
        <v>1939</v>
      </c>
      <c r="O3" s="158">
        <v>12</v>
      </c>
      <c r="P3" s="158">
        <v>1</v>
      </c>
      <c r="Q3" s="159">
        <v>14580</v>
      </c>
      <c r="R3" s="158">
        <v>0</v>
      </c>
      <c r="S3" s="158">
        <v>0</v>
      </c>
      <c r="T3" s="158">
        <v>11</v>
      </c>
      <c r="U3" s="160"/>
      <c r="V3" s="158">
        <v>9110057</v>
      </c>
      <c r="W3" s="161" t="s">
        <v>836</v>
      </c>
      <c r="X3" s="161" t="s">
        <v>837</v>
      </c>
      <c r="Y3" s="158">
        <v>8532</v>
      </c>
      <c r="Z3" s="161" t="s">
        <v>755</v>
      </c>
      <c r="AA3" s="160"/>
      <c r="AB3" s="161" t="s">
        <v>755</v>
      </c>
      <c r="AC3" s="160"/>
    </row>
    <row r="4" spans="1:29" ht="56.25">
      <c r="A4" s="63" t="s">
        <v>323</v>
      </c>
      <c r="B4" s="63" t="s">
        <v>3</v>
      </c>
      <c r="C4" s="63"/>
      <c r="D4" s="63" t="s">
        <v>9</v>
      </c>
      <c r="E4" s="29" t="s">
        <v>204</v>
      </c>
      <c r="F4" s="15" t="s">
        <v>141</v>
      </c>
      <c r="G4" s="15" t="s">
        <v>349</v>
      </c>
      <c r="H4" s="15"/>
      <c r="I4" s="16" t="s">
        <v>185</v>
      </c>
      <c r="J4" s="17"/>
      <c r="L4" s="158">
        <v>2</v>
      </c>
      <c r="M4" s="158">
        <v>8507</v>
      </c>
      <c r="N4" s="158">
        <v>1940</v>
      </c>
      <c r="O4" s="158">
        <v>1</v>
      </c>
      <c r="P4" s="158">
        <v>10</v>
      </c>
      <c r="Q4" s="159">
        <v>14620</v>
      </c>
      <c r="R4" s="158">
        <v>0</v>
      </c>
      <c r="S4" s="158">
        <v>0</v>
      </c>
      <c r="T4" s="158">
        <v>8</v>
      </c>
      <c r="U4" s="160"/>
      <c r="V4" s="158">
        <v>9110057</v>
      </c>
      <c r="W4" s="161" t="s">
        <v>838</v>
      </c>
      <c r="X4" s="161" t="s">
        <v>839</v>
      </c>
      <c r="Y4" s="158">
        <v>8507</v>
      </c>
      <c r="Z4" s="161" t="s">
        <v>755</v>
      </c>
      <c r="AA4" s="160"/>
      <c r="AB4" s="161" t="s">
        <v>755</v>
      </c>
      <c r="AC4" s="160"/>
    </row>
    <row r="5" spans="1:29" ht="37.5">
      <c r="A5" s="63" t="s">
        <v>50</v>
      </c>
      <c r="B5" s="63" t="s">
        <v>3</v>
      </c>
      <c r="C5" s="63"/>
      <c r="D5" s="63" t="s">
        <v>9</v>
      </c>
      <c r="E5" s="12" t="s">
        <v>148</v>
      </c>
      <c r="F5" s="15" t="s">
        <v>142</v>
      </c>
      <c r="G5" s="15" t="s">
        <v>65</v>
      </c>
      <c r="H5" s="15"/>
      <c r="I5" s="15"/>
      <c r="J5" s="17"/>
      <c r="L5" s="158">
        <v>3</v>
      </c>
      <c r="M5" s="158">
        <v>8532</v>
      </c>
      <c r="N5" s="158">
        <v>1939</v>
      </c>
      <c r="O5" s="158">
        <v>9</v>
      </c>
      <c r="P5" s="158">
        <v>16</v>
      </c>
      <c r="Q5" s="159">
        <v>14504</v>
      </c>
      <c r="R5" s="158">
        <v>0</v>
      </c>
      <c r="S5" s="158">
        <v>0</v>
      </c>
      <c r="T5" s="158">
        <v>12</v>
      </c>
      <c r="U5" s="160"/>
      <c r="V5" s="158">
        <v>9110057</v>
      </c>
      <c r="W5" s="161" t="s">
        <v>840</v>
      </c>
      <c r="X5" s="161" t="s">
        <v>837</v>
      </c>
      <c r="Y5" s="158">
        <v>8532</v>
      </c>
      <c r="Z5" s="161" t="s">
        <v>755</v>
      </c>
      <c r="AA5" s="160"/>
      <c r="AB5" s="161" t="s">
        <v>755</v>
      </c>
      <c r="AC5" s="160"/>
    </row>
    <row r="6" spans="1:29" ht="37.5">
      <c r="A6" s="12" t="s">
        <v>51</v>
      </c>
      <c r="B6" s="12" t="s">
        <v>3</v>
      </c>
      <c r="C6" s="12"/>
      <c r="D6" s="12" t="s">
        <v>10</v>
      </c>
      <c r="E6" s="12" t="s">
        <v>148</v>
      </c>
      <c r="F6" s="15" t="s">
        <v>142</v>
      </c>
      <c r="G6" s="15" t="s">
        <v>66</v>
      </c>
      <c r="H6" s="15"/>
      <c r="I6" s="15"/>
      <c r="J6" s="17"/>
      <c r="L6" s="158">
        <v>4</v>
      </c>
      <c r="M6" s="158">
        <v>8532</v>
      </c>
      <c r="N6" s="158">
        <v>1952</v>
      </c>
      <c r="O6" s="158">
        <v>12</v>
      </c>
      <c r="P6" s="158">
        <v>9</v>
      </c>
      <c r="Q6" s="159">
        <v>19337</v>
      </c>
      <c r="R6" s="158">
        <v>0</v>
      </c>
      <c r="S6" s="158">
        <v>0</v>
      </c>
      <c r="T6" s="158">
        <v>12</v>
      </c>
      <c r="U6" s="160"/>
      <c r="V6" s="158">
        <v>9110057</v>
      </c>
      <c r="W6" s="161" t="s">
        <v>841</v>
      </c>
      <c r="X6" s="161" t="s">
        <v>837</v>
      </c>
      <c r="Y6" s="158">
        <v>8532</v>
      </c>
      <c r="Z6" s="161" t="s">
        <v>755</v>
      </c>
      <c r="AA6" s="160"/>
      <c r="AB6" s="161" t="s">
        <v>755</v>
      </c>
      <c r="AC6" s="160"/>
    </row>
    <row r="7" spans="1:29" ht="37.5">
      <c r="A7" s="12" t="s">
        <v>52</v>
      </c>
      <c r="B7" s="12" t="s">
        <v>3</v>
      </c>
      <c r="C7" s="12"/>
      <c r="D7" s="12" t="s">
        <v>10</v>
      </c>
      <c r="E7" s="12" t="s">
        <v>148</v>
      </c>
      <c r="F7" s="15" t="s">
        <v>142</v>
      </c>
      <c r="G7" s="15" t="s">
        <v>67</v>
      </c>
      <c r="H7" s="15"/>
      <c r="I7" s="15"/>
      <c r="J7" s="17"/>
      <c r="L7" s="158">
        <v>5</v>
      </c>
      <c r="M7" s="158">
        <v>8532</v>
      </c>
      <c r="N7" s="158">
        <v>1934</v>
      </c>
      <c r="O7" s="158">
        <v>1</v>
      </c>
      <c r="P7" s="158">
        <v>20</v>
      </c>
      <c r="Q7" s="159">
        <v>12439</v>
      </c>
      <c r="R7" s="158">
        <v>0</v>
      </c>
      <c r="S7" s="158">
        <v>0</v>
      </c>
      <c r="T7" s="158">
        <v>13</v>
      </c>
      <c r="U7" s="160"/>
      <c r="V7" s="158">
        <v>9110057</v>
      </c>
      <c r="W7" s="161" t="s">
        <v>842</v>
      </c>
      <c r="X7" s="161" t="s">
        <v>837</v>
      </c>
      <c r="Y7" s="158">
        <v>8532</v>
      </c>
      <c r="Z7" s="161" t="s">
        <v>755</v>
      </c>
      <c r="AA7" s="160"/>
      <c r="AB7" s="161" t="s">
        <v>755</v>
      </c>
      <c r="AC7" s="160"/>
    </row>
    <row r="8" spans="1:29" ht="37.5">
      <c r="A8" s="12" t="s">
        <v>53</v>
      </c>
      <c r="B8" s="12" t="s">
        <v>6</v>
      </c>
      <c r="C8" s="12"/>
      <c r="D8" s="12" t="s">
        <v>10</v>
      </c>
      <c r="E8" s="12" t="s">
        <v>148</v>
      </c>
      <c r="F8" s="15" t="s">
        <v>142</v>
      </c>
      <c r="G8" s="15" t="s">
        <v>741</v>
      </c>
      <c r="H8" s="15"/>
      <c r="I8" s="15"/>
      <c r="J8" s="17"/>
      <c r="L8" s="158">
        <v>6</v>
      </c>
      <c r="M8" s="158">
        <v>8507</v>
      </c>
      <c r="N8" s="158">
        <v>1949</v>
      </c>
      <c r="O8" s="158">
        <v>1</v>
      </c>
      <c r="P8" s="158">
        <v>4</v>
      </c>
      <c r="Q8" s="159">
        <v>17902</v>
      </c>
      <c r="R8" s="158">
        <v>0</v>
      </c>
      <c r="S8" s="158">
        <v>0</v>
      </c>
      <c r="T8" s="158">
        <v>12</v>
      </c>
      <c r="U8" s="160"/>
      <c r="V8" s="158">
        <v>9110057</v>
      </c>
      <c r="W8" s="161" t="s">
        <v>843</v>
      </c>
      <c r="X8" s="161" t="s">
        <v>839</v>
      </c>
      <c r="Y8" s="158">
        <v>8507</v>
      </c>
      <c r="Z8" s="161" t="s">
        <v>755</v>
      </c>
      <c r="AA8" s="160"/>
      <c r="AB8" s="161" t="s">
        <v>755</v>
      </c>
      <c r="AC8" s="160"/>
    </row>
    <row r="9" spans="1:29" ht="37.5">
      <c r="A9" s="63" t="s">
        <v>324</v>
      </c>
      <c r="B9" s="63" t="s">
        <v>3</v>
      </c>
      <c r="C9" s="63"/>
      <c r="D9" s="63" t="s">
        <v>9</v>
      </c>
      <c r="E9" s="32" t="s">
        <v>150</v>
      </c>
      <c r="F9" s="15" t="s">
        <v>350</v>
      </c>
      <c r="G9" s="15" t="s">
        <v>351</v>
      </c>
      <c r="H9" s="15"/>
      <c r="I9" s="15"/>
      <c r="J9" s="17"/>
      <c r="L9" s="158">
        <v>7</v>
      </c>
      <c r="M9" s="158">
        <v>8507</v>
      </c>
      <c r="N9" s="158">
        <v>1937</v>
      </c>
      <c r="O9" s="158">
        <v>2</v>
      </c>
      <c r="P9" s="158">
        <v>15</v>
      </c>
      <c r="Q9" s="159">
        <v>13561</v>
      </c>
      <c r="R9" s="158">
        <v>0</v>
      </c>
      <c r="S9" s="158">
        <v>0</v>
      </c>
      <c r="T9" s="158">
        <v>12</v>
      </c>
      <c r="U9" s="160"/>
      <c r="V9" s="158">
        <v>9110057</v>
      </c>
      <c r="W9" s="161" t="s">
        <v>844</v>
      </c>
      <c r="X9" s="161" t="s">
        <v>839</v>
      </c>
      <c r="Y9" s="158">
        <v>8507</v>
      </c>
      <c r="Z9" s="161" t="s">
        <v>755</v>
      </c>
      <c r="AA9" s="160"/>
      <c r="AB9" s="161" t="s">
        <v>755</v>
      </c>
      <c r="AC9" s="160"/>
    </row>
    <row r="10" spans="1:29" ht="37.5">
      <c r="A10" s="63" t="s">
        <v>54</v>
      </c>
      <c r="B10" s="63" t="s">
        <v>3</v>
      </c>
      <c r="C10" s="63"/>
      <c r="D10" s="63" t="s">
        <v>9</v>
      </c>
      <c r="E10" s="32" t="s">
        <v>150</v>
      </c>
      <c r="F10" s="15" t="s">
        <v>350</v>
      </c>
      <c r="G10" s="15" t="s">
        <v>351</v>
      </c>
      <c r="H10" s="15"/>
      <c r="I10" s="15"/>
      <c r="J10" s="17"/>
      <c r="L10" s="158">
        <v>8</v>
      </c>
      <c r="M10" s="158">
        <v>8507</v>
      </c>
      <c r="N10" s="158">
        <v>1944</v>
      </c>
      <c r="O10" s="158">
        <v>9</v>
      </c>
      <c r="P10" s="158">
        <v>17</v>
      </c>
      <c r="Q10" s="159">
        <v>16332</v>
      </c>
      <c r="R10" s="158">
        <v>0</v>
      </c>
      <c r="S10" s="158">
        <v>0</v>
      </c>
      <c r="T10" s="158">
        <v>12</v>
      </c>
      <c r="U10" s="160"/>
      <c r="V10" s="158">
        <v>9110057</v>
      </c>
      <c r="W10" s="161" t="s">
        <v>845</v>
      </c>
      <c r="X10" s="161" t="s">
        <v>839</v>
      </c>
      <c r="Y10" s="158">
        <v>8507</v>
      </c>
      <c r="Z10" s="161" t="s">
        <v>755</v>
      </c>
      <c r="AA10" s="160"/>
      <c r="AB10" s="161" t="s">
        <v>755</v>
      </c>
      <c r="AC10" s="160"/>
    </row>
    <row r="11" spans="1:29" ht="37.5">
      <c r="A11" s="12" t="s">
        <v>55</v>
      </c>
      <c r="B11" s="12" t="s">
        <v>3</v>
      </c>
      <c r="C11" s="12"/>
      <c r="D11" s="12" t="s">
        <v>10</v>
      </c>
      <c r="E11" s="30" t="s">
        <v>204</v>
      </c>
      <c r="F11" s="15" t="s">
        <v>143</v>
      </c>
      <c r="G11" s="15" t="s">
        <v>742</v>
      </c>
      <c r="H11" s="15"/>
      <c r="I11" s="15"/>
      <c r="J11" s="18"/>
      <c r="L11" s="158">
        <v>9</v>
      </c>
      <c r="M11" s="158">
        <v>8532</v>
      </c>
      <c r="N11" s="158">
        <v>1953</v>
      </c>
      <c r="O11" s="158">
        <v>5</v>
      </c>
      <c r="P11" s="158">
        <v>15</v>
      </c>
      <c r="Q11" s="159">
        <v>19494</v>
      </c>
      <c r="R11" s="158">
        <v>0</v>
      </c>
      <c r="S11" s="158">
        <v>0</v>
      </c>
      <c r="T11" s="158">
        <v>12</v>
      </c>
      <c r="U11" s="160"/>
      <c r="V11" s="158">
        <v>9110057</v>
      </c>
      <c r="W11" s="161" t="s">
        <v>846</v>
      </c>
      <c r="X11" s="161" t="s">
        <v>837</v>
      </c>
      <c r="Y11" s="158">
        <v>8532</v>
      </c>
      <c r="Z11" s="161" t="s">
        <v>755</v>
      </c>
      <c r="AA11" s="160"/>
      <c r="AB11" s="161" t="s">
        <v>755</v>
      </c>
      <c r="AC11" s="160"/>
    </row>
    <row r="12" spans="1:29">
      <c r="A12" s="61" t="s">
        <v>56</v>
      </c>
      <c r="B12" s="61" t="s">
        <v>3</v>
      </c>
      <c r="C12" s="61"/>
      <c r="D12" s="61" t="s">
        <v>10</v>
      </c>
      <c r="E12" s="61"/>
      <c r="F12" s="62"/>
      <c r="G12" s="62" t="s">
        <v>68</v>
      </c>
      <c r="H12" s="62"/>
      <c r="I12" s="62"/>
      <c r="J12" s="17"/>
      <c r="L12" s="158">
        <v>10</v>
      </c>
      <c r="M12" s="158">
        <v>8532</v>
      </c>
      <c r="N12" s="158">
        <v>1933</v>
      </c>
      <c r="O12" s="158">
        <v>12</v>
      </c>
      <c r="P12" s="158">
        <v>23</v>
      </c>
      <c r="Q12" s="159">
        <v>12411</v>
      </c>
      <c r="R12" s="158">
        <v>0</v>
      </c>
      <c r="S12" s="158">
        <v>0</v>
      </c>
      <c r="T12" s="158">
        <v>13</v>
      </c>
      <c r="U12" s="160"/>
      <c r="V12" s="158">
        <v>9110057</v>
      </c>
      <c r="W12" s="161" t="s">
        <v>674</v>
      </c>
      <c r="X12" s="161" t="s">
        <v>837</v>
      </c>
      <c r="Y12" s="158">
        <v>8532</v>
      </c>
      <c r="Z12" s="161" t="s">
        <v>755</v>
      </c>
      <c r="AA12" s="160"/>
      <c r="AB12" s="161" t="s">
        <v>755</v>
      </c>
      <c r="AC12" s="160"/>
    </row>
    <row r="13" spans="1:29" ht="75">
      <c r="A13" s="12" t="s">
        <v>57</v>
      </c>
      <c r="B13" s="12" t="s">
        <v>3</v>
      </c>
      <c r="C13" s="12"/>
      <c r="D13" s="12" t="s">
        <v>10</v>
      </c>
      <c r="E13" s="32" t="s">
        <v>150</v>
      </c>
      <c r="F13" s="15" t="s">
        <v>353</v>
      </c>
      <c r="G13" s="15" t="s">
        <v>352</v>
      </c>
      <c r="H13" s="15"/>
      <c r="I13" s="15"/>
      <c r="J13" s="20"/>
      <c r="L13" s="158">
        <v>11</v>
      </c>
      <c r="M13" s="158">
        <v>8532</v>
      </c>
      <c r="N13" s="158">
        <v>1949</v>
      </c>
      <c r="O13" s="158">
        <v>1</v>
      </c>
      <c r="P13" s="158">
        <v>4</v>
      </c>
      <c r="Q13" s="159">
        <v>17902</v>
      </c>
      <c r="R13" s="158">
        <v>0</v>
      </c>
      <c r="S13" s="158">
        <v>0</v>
      </c>
      <c r="T13" s="158">
        <v>11</v>
      </c>
      <c r="U13" s="160"/>
      <c r="V13" s="158">
        <v>9110057</v>
      </c>
      <c r="W13" s="161" t="s">
        <v>847</v>
      </c>
      <c r="X13" s="161" t="s">
        <v>837</v>
      </c>
      <c r="Y13" s="158">
        <v>8532</v>
      </c>
      <c r="Z13" s="161" t="s">
        <v>755</v>
      </c>
      <c r="AA13" s="160"/>
      <c r="AB13" s="161" t="s">
        <v>755</v>
      </c>
      <c r="AC13" s="160"/>
    </row>
    <row r="14" spans="1:29" ht="37.5">
      <c r="A14" s="12" t="s">
        <v>58</v>
      </c>
      <c r="B14" s="12" t="s">
        <v>4</v>
      </c>
      <c r="C14" s="12">
        <v>50</v>
      </c>
      <c r="D14" s="12" t="s">
        <v>10</v>
      </c>
      <c r="E14" s="12" t="s">
        <v>148</v>
      </c>
      <c r="F14" s="15" t="s">
        <v>354</v>
      </c>
      <c r="G14" s="15" t="s">
        <v>1796</v>
      </c>
      <c r="H14" s="15"/>
      <c r="I14" s="15"/>
      <c r="J14" s="17"/>
    </row>
    <row r="15" spans="1:29" ht="37.5">
      <c r="A15" s="12" t="s">
        <v>59</v>
      </c>
      <c r="B15" s="12" t="s">
        <v>4</v>
      </c>
      <c r="C15" s="12">
        <v>50</v>
      </c>
      <c r="D15" s="12" t="s">
        <v>10</v>
      </c>
      <c r="E15" s="12" t="s">
        <v>148</v>
      </c>
      <c r="F15" s="15" t="s">
        <v>141</v>
      </c>
      <c r="G15" s="15" t="s">
        <v>355</v>
      </c>
      <c r="H15" s="15"/>
      <c r="I15" s="15"/>
      <c r="J15" s="17"/>
    </row>
    <row r="16" spans="1:29" ht="56.25">
      <c r="A16" s="63" t="s">
        <v>325</v>
      </c>
      <c r="B16" s="63" t="s">
        <v>3</v>
      </c>
      <c r="C16" s="63"/>
      <c r="D16" s="63" t="s">
        <v>9</v>
      </c>
      <c r="E16" s="29" t="s">
        <v>204</v>
      </c>
      <c r="F16" s="15" t="s">
        <v>141</v>
      </c>
      <c r="G16" s="15" t="s">
        <v>349</v>
      </c>
      <c r="H16" s="15"/>
      <c r="I16" s="16" t="s">
        <v>185</v>
      </c>
      <c r="J16" s="17"/>
    </row>
    <row r="17" spans="1:10" ht="37.5">
      <c r="A17" s="61" t="s">
        <v>60</v>
      </c>
      <c r="B17" s="61" t="s">
        <v>4</v>
      </c>
      <c r="C17" s="61">
        <v>50</v>
      </c>
      <c r="D17" s="61" t="s">
        <v>10</v>
      </c>
      <c r="E17" s="61"/>
      <c r="F17" s="62"/>
      <c r="G17" s="62" t="s">
        <v>149</v>
      </c>
      <c r="H17" s="62"/>
      <c r="I17" s="62"/>
      <c r="J17" s="17"/>
    </row>
    <row r="18" spans="1:10">
      <c r="A18" s="61" t="s">
        <v>326</v>
      </c>
      <c r="B18" s="61" t="s">
        <v>3</v>
      </c>
      <c r="C18" s="61"/>
      <c r="D18" s="61" t="s">
        <v>10</v>
      </c>
      <c r="E18" s="61"/>
      <c r="F18" s="62"/>
      <c r="G18" s="62" t="s">
        <v>68</v>
      </c>
      <c r="H18" s="62"/>
      <c r="I18" s="62"/>
      <c r="J18" s="17"/>
    </row>
    <row r="19" spans="1:10" ht="37.5">
      <c r="A19" s="61" t="s">
        <v>61</v>
      </c>
      <c r="B19" s="61" t="s">
        <v>4</v>
      </c>
      <c r="C19" s="61">
        <v>50</v>
      </c>
      <c r="D19" s="61" t="s">
        <v>10</v>
      </c>
      <c r="E19" s="61"/>
      <c r="F19" s="62"/>
      <c r="G19" s="62" t="s">
        <v>149</v>
      </c>
      <c r="H19" s="62"/>
      <c r="I19" s="62"/>
      <c r="J19" s="17"/>
    </row>
    <row r="20" spans="1:10">
      <c r="A20" s="61" t="s">
        <v>62</v>
      </c>
      <c r="B20" s="61" t="s">
        <v>3</v>
      </c>
      <c r="C20" s="61"/>
      <c r="D20" s="61" t="s">
        <v>10</v>
      </c>
      <c r="E20" s="61"/>
      <c r="F20" s="62"/>
      <c r="G20" s="62" t="s">
        <v>68</v>
      </c>
      <c r="H20" s="62"/>
      <c r="I20" s="62"/>
      <c r="J20" s="17"/>
    </row>
    <row r="21" spans="1:10">
      <c r="J21" s="17"/>
    </row>
    <row r="22" spans="1:10">
      <c r="A22" t="s">
        <v>1794</v>
      </c>
      <c r="J22" s="17"/>
    </row>
    <row r="23" spans="1:10">
      <c r="A23" t="s">
        <v>1793</v>
      </c>
    </row>
    <row r="24" spans="1:10">
      <c r="A24" t="s">
        <v>1795</v>
      </c>
    </row>
  </sheetData>
  <autoFilter ref="A2:G20" xr:uid="{640F08C3-1519-4E90-90C5-641830ED8E9D}"/>
  <phoneticPr fontId="1"/>
  <hyperlinks>
    <hyperlink ref="I4" r:id="rId1" xr:uid="{9135D1A3-8423-4C29-A93C-9CB1DEF00A02}"/>
    <hyperlink ref="I16" r:id="rId2" xr:uid="{9C67D60A-1868-450D-936D-90712037E3F0}"/>
  </hyperlinks>
  <pageMargins left="0.7" right="0.7" top="0.75" bottom="0.75" header="0.3" footer="0.3"/>
  <pageSetup paperSize="9" orientation="portrait"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B2712-99BE-4C24-89F1-166DD0C19BD8}">
  <sheetPr codeName="Sheet49"/>
  <dimension ref="A1:AB51"/>
  <sheetViews>
    <sheetView zoomScaleNormal="100" workbookViewId="0">
      <pane xSplit="2" ySplit="2" topLeftCell="C14" activePane="bottomRight" state="frozen"/>
      <selection pane="topRight" activeCell="C1" sqref="C1"/>
      <selection pane="bottomLeft" activeCell="A3" sqref="A3"/>
      <selection pane="bottomRight"/>
    </sheetView>
  </sheetViews>
  <sheetFormatPr defaultRowHeight="18.75"/>
  <cols>
    <col min="1" max="1" width="27.875" bestFit="1" customWidth="1"/>
    <col min="2" max="2" width="26.875" bestFit="1" customWidth="1"/>
    <col min="3" max="3" width="11.125" bestFit="1" customWidth="1"/>
    <col min="4" max="4" width="10.125" bestFit="1" customWidth="1"/>
    <col min="5" max="5" width="22" customWidth="1"/>
    <col min="6" max="6" width="29.625" customWidth="1"/>
    <col min="7" max="7" width="62.375" style="3" customWidth="1"/>
    <col min="8" max="8" width="21.75" style="3" bestFit="1" customWidth="1"/>
    <col min="9" max="9" width="35.375" style="3" customWidth="1"/>
    <col min="12" max="12" width="16.75" bestFit="1" customWidth="1"/>
    <col min="13" max="13" width="8.625" bestFit="1" customWidth="1"/>
    <col min="14" max="14" width="13.75" bestFit="1" customWidth="1"/>
    <col min="15" max="15" width="13.25" style="155" bestFit="1" customWidth="1"/>
    <col min="16" max="16" width="17.125" style="164" bestFit="1" customWidth="1"/>
    <col min="17" max="17" width="12.125" style="155" bestFit="1" customWidth="1"/>
    <col min="18" max="18" width="17.125" style="164" bestFit="1" customWidth="1"/>
    <col min="19" max="19" width="18.125" bestFit="1" customWidth="1"/>
    <col min="20" max="20" width="9.625" bestFit="1" customWidth="1"/>
    <col min="21" max="21" width="10.25" bestFit="1" customWidth="1"/>
    <col min="22" max="22" width="42.75" customWidth="1"/>
    <col min="23" max="23" width="20.25" bestFit="1" customWidth="1"/>
    <col min="24" max="24" width="22.125" bestFit="1" customWidth="1"/>
    <col min="25" max="25" width="24.125" bestFit="1" customWidth="1"/>
    <col min="26" max="26" width="21.75" bestFit="1" customWidth="1"/>
    <col min="27" max="27" width="23.875" bestFit="1" customWidth="1"/>
    <col min="28" max="28" width="25.625" bestFit="1" customWidth="1"/>
  </cols>
  <sheetData>
    <row r="1" spans="1:28">
      <c r="A1" s="6" t="s">
        <v>218</v>
      </c>
      <c r="D1" s="7"/>
      <c r="L1" s="6" t="s">
        <v>807</v>
      </c>
    </row>
    <row r="2" spans="1:28">
      <c r="A2" s="2" t="s">
        <v>0</v>
      </c>
      <c r="B2" s="2" t="s">
        <v>1</v>
      </c>
      <c r="C2" s="2" t="s">
        <v>2</v>
      </c>
      <c r="D2" s="2" t="s">
        <v>8</v>
      </c>
      <c r="E2" s="5" t="s">
        <v>151</v>
      </c>
      <c r="F2" s="5" t="s">
        <v>63</v>
      </c>
      <c r="G2" s="5" t="s">
        <v>145</v>
      </c>
      <c r="H2" s="5" t="s">
        <v>743</v>
      </c>
      <c r="I2" s="5" t="s">
        <v>85</v>
      </c>
      <c r="L2" s="132" t="s">
        <v>76</v>
      </c>
      <c r="M2" s="132" t="s">
        <v>49</v>
      </c>
      <c r="N2" s="132" t="s">
        <v>205</v>
      </c>
      <c r="O2" s="162" t="s">
        <v>206</v>
      </c>
      <c r="P2" s="165" t="s">
        <v>207</v>
      </c>
      <c r="Q2" s="162" t="s">
        <v>208</v>
      </c>
      <c r="R2" s="165" t="s">
        <v>209</v>
      </c>
      <c r="S2" s="132" t="s">
        <v>210</v>
      </c>
      <c r="T2" s="132" t="s">
        <v>56</v>
      </c>
      <c r="U2" s="132" t="s">
        <v>57</v>
      </c>
      <c r="V2" s="132" t="s">
        <v>211</v>
      </c>
      <c r="W2" s="132" t="s">
        <v>212</v>
      </c>
      <c r="X2" s="132" t="s">
        <v>213</v>
      </c>
      <c r="Y2" s="132" t="s">
        <v>214</v>
      </c>
      <c r="Z2" s="132" t="s">
        <v>215</v>
      </c>
      <c r="AA2" s="132" t="s">
        <v>216</v>
      </c>
      <c r="AB2" s="132" t="s">
        <v>217</v>
      </c>
    </row>
    <row r="3" spans="1:28">
      <c r="A3" s="63" t="s">
        <v>76</v>
      </c>
      <c r="B3" s="63" t="s">
        <v>3</v>
      </c>
      <c r="C3" s="63"/>
      <c r="D3" s="63" t="s">
        <v>9</v>
      </c>
      <c r="E3" s="12" t="s">
        <v>357</v>
      </c>
      <c r="F3" s="15"/>
      <c r="G3" s="12" t="s">
        <v>356</v>
      </c>
      <c r="H3" s="12"/>
      <c r="I3" s="15"/>
      <c r="L3" s="133">
        <v>1</v>
      </c>
      <c r="M3" s="133">
        <v>1</v>
      </c>
      <c r="N3" s="133">
        <v>9202</v>
      </c>
      <c r="O3" s="163">
        <v>45717</v>
      </c>
      <c r="P3" s="166">
        <v>45717.375</v>
      </c>
      <c r="Q3" s="163">
        <v>45717</v>
      </c>
      <c r="R3" s="166">
        <v>45717.375</v>
      </c>
      <c r="S3" s="133">
        <v>32817</v>
      </c>
      <c r="T3" s="133">
        <v>1</v>
      </c>
      <c r="U3" s="134"/>
      <c r="V3" s="135" t="s">
        <v>848</v>
      </c>
      <c r="W3" s="133">
        <v>0</v>
      </c>
      <c r="X3" s="134"/>
      <c r="Y3" s="135" t="s">
        <v>755</v>
      </c>
      <c r="Z3" s="134"/>
      <c r="AA3" s="135" t="s">
        <v>755</v>
      </c>
      <c r="AB3" s="134"/>
    </row>
    <row r="4" spans="1:28" ht="37.5">
      <c r="A4" s="63" t="s">
        <v>220</v>
      </c>
      <c r="B4" s="63" t="s">
        <v>3</v>
      </c>
      <c r="C4" s="63"/>
      <c r="D4" s="63" t="s">
        <v>9</v>
      </c>
      <c r="E4" s="30" t="s">
        <v>204</v>
      </c>
      <c r="F4" s="15" t="s">
        <v>358</v>
      </c>
      <c r="G4" s="15" t="s">
        <v>359</v>
      </c>
      <c r="H4" s="15"/>
      <c r="I4" s="15"/>
      <c r="L4" s="133">
        <v>2</v>
      </c>
      <c r="M4" s="133">
        <v>1</v>
      </c>
      <c r="N4" s="133">
        <v>9202</v>
      </c>
      <c r="O4" s="163">
        <v>45747</v>
      </c>
      <c r="P4" s="166">
        <v>45747.375</v>
      </c>
      <c r="Q4" s="163">
        <v>45747</v>
      </c>
      <c r="R4" s="166">
        <v>45747.375</v>
      </c>
      <c r="S4" s="133">
        <v>32817</v>
      </c>
      <c r="T4" s="133">
        <v>1</v>
      </c>
      <c r="U4" s="134"/>
      <c r="V4" s="135" t="s">
        <v>848</v>
      </c>
      <c r="W4" s="133">
        <v>0</v>
      </c>
      <c r="X4" s="134"/>
      <c r="Y4" s="135" t="s">
        <v>755</v>
      </c>
      <c r="Z4" s="134"/>
      <c r="AA4" s="135" t="s">
        <v>755</v>
      </c>
      <c r="AB4" s="134"/>
    </row>
    <row r="5" spans="1:28" ht="262.5">
      <c r="A5" s="63" t="s">
        <v>205</v>
      </c>
      <c r="B5" s="63" t="s">
        <v>3</v>
      </c>
      <c r="C5" s="63"/>
      <c r="D5" s="63" t="s">
        <v>9</v>
      </c>
      <c r="E5" s="30" t="s">
        <v>204</v>
      </c>
      <c r="F5" s="15" t="s">
        <v>337</v>
      </c>
      <c r="G5" s="15" t="s">
        <v>362</v>
      </c>
      <c r="H5" s="120" t="s">
        <v>744</v>
      </c>
      <c r="I5" s="16" t="s">
        <v>219</v>
      </c>
      <c r="L5" s="133">
        <v>3</v>
      </c>
      <c r="M5" s="133">
        <v>1</v>
      </c>
      <c r="N5" s="133">
        <v>9201</v>
      </c>
      <c r="O5" s="163">
        <v>45748</v>
      </c>
      <c r="P5" s="166">
        <v>45748.416666666664</v>
      </c>
      <c r="Q5" s="163">
        <v>45777</v>
      </c>
      <c r="R5" s="166">
        <v>45777.416666666664</v>
      </c>
      <c r="S5" s="133">
        <v>32817</v>
      </c>
      <c r="T5" s="133">
        <v>1</v>
      </c>
      <c r="U5" s="134"/>
      <c r="V5" s="135" t="s">
        <v>849</v>
      </c>
      <c r="W5" s="133">
        <v>0</v>
      </c>
      <c r="X5" s="134"/>
      <c r="Y5" s="135" t="s">
        <v>755</v>
      </c>
      <c r="Z5" s="133">
        <v>0</v>
      </c>
      <c r="AA5" s="135" t="s">
        <v>666</v>
      </c>
      <c r="AB5" s="134"/>
    </row>
    <row r="6" spans="1:28" ht="37.5">
      <c r="A6" s="63" t="s">
        <v>206</v>
      </c>
      <c r="B6" s="63" t="s">
        <v>5</v>
      </c>
      <c r="C6" s="63"/>
      <c r="D6" s="63" t="s">
        <v>9</v>
      </c>
      <c r="E6" s="12" t="s">
        <v>148</v>
      </c>
      <c r="F6" s="15" t="s">
        <v>338</v>
      </c>
      <c r="G6" s="15" t="s">
        <v>363</v>
      </c>
      <c r="H6" s="15"/>
      <c r="I6" s="15"/>
      <c r="L6" s="133">
        <v>4</v>
      </c>
      <c r="M6" s="133">
        <v>1</v>
      </c>
      <c r="N6" s="133">
        <v>9202</v>
      </c>
      <c r="O6" s="163">
        <v>45809</v>
      </c>
      <c r="P6" s="166">
        <v>45809.375</v>
      </c>
      <c r="Q6" s="163">
        <v>45809</v>
      </c>
      <c r="R6" s="166">
        <v>45809.375</v>
      </c>
      <c r="S6" s="133">
        <v>32817</v>
      </c>
      <c r="T6" s="133">
        <v>4</v>
      </c>
      <c r="U6" s="134"/>
      <c r="V6" s="135" t="s">
        <v>848</v>
      </c>
      <c r="W6" s="133">
        <v>0</v>
      </c>
      <c r="X6" s="134"/>
      <c r="Y6" s="135" t="s">
        <v>755</v>
      </c>
      <c r="Z6" s="134"/>
      <c r="AA6" s="135" t="s">
        <v>755</v>
      </c>
      <c r="AB6" s="134"/>
    </row>
    <row r="7" spans="1:28" ht="56.25">
      <c r="A7" s="12" t="s">
        <v>207</v>
      </c>
      <c r="B7" s="12" t="s">
        <v>6</v>
      </c>
      <c r="C7" s="12"/>
      <c r="D7" s="12" t="s">
        <v>10</v>
      </c>
      <c r="E7" s="12" t="s">
        <v>148</v>
      </c>
      <c r="F7" s="15" t="s">
        <v>360</v>
      </c>
      <c r="G7" s="15" t="s">
        <v>364</v>
      </c>
      <c r="H7" s="15"/>
      <c r="I7" s="15"/>
      <c r="L7" s="133">
        <v>5</v>
      </c>
      <c r="M7" s="133">
        <v>1</v>
      </c>
      <c r="N7" s="133">
        <v>9202</v>
      </c>
      <c r="O7" s="163">
        <v>45839</v>
      </c>
      <c r="P7" s="166">
        <v>45839.375</v>
      </c>
      <c r="Q7" s="163">
        <v>45839</v>
      </c>
      <c r="R7" s="166">
        <v>45839.375</v>
      </c>
      <c r="S7" s="133">
        <v>32817</v>
      </c>
      <c r="T7" s="133">
        <v>4</v>
      </c>
      <c r="U7" s="134"/>
      <c r="V7" s="135" t="s">
        <v>848</v>
      </c>
      <c r="W7" s="133">
        <v>0</v>
      </c>
      <c r="X7" s="134"/>
      <c r="Y7" s="135" t="s">
        <v>755</v>
      </c>
      <c r="Z7" s="134"/>
      <c r="AA7" s="135" t="s">
        <v>755</v>
      </c>
      <c r="AB7" s="134"/>
    </row>
    <row r="8" spans="1:28" ht="56.25">
      <c r="A8" s="63" t="s">
        <v>208</v>
      </c>
      <c r="B8" s="63" t="s">
        <v>5</v>
      </c>
      <c r="C8" s="63"/>
      <c r="D8" s="63" t="s">
        <v>9</v>
      </c>
      <c r="E8" s="12" t="s">
        <v>148</v>
      </c>
      <c r="F8" s="15" t="s">
        <v>339</v>
      </c>
      <c r="G8" s="15" t="s">
        <v>404</v>
      </c>
      <c r="H8" s="15"/>
      <c r="I8" s="15"/>
      <c r="L8" s="133">
        <v>6</v>
      </c>
      <c r="M8" s="133">
        <v>1</v>
      </c>
      <c r="N8" s="133">
        <v>9202</v>
      </c>
      <c r="O8" s="163">
        <v>45870</v>
      </c>
      <c r="P8" s="166">
        <v>45870.375</v>
      </c>
      <c r="Q8" s="163">
        <v>45870</v>
      </c>
      <c r="R8" s="166">
        <v>45870.375</v>
      </c>
      <c r="S8" s="133">
        <v>32817</v>
      </c>
      <c r="T8" s="133">
        <v>4</v>
      </c>
      <c r="U8" s="134"/>
      <c r="V8" s="135" t="s">
        <v>848</v>
      </c>
      <c r="W8" s="133">
        <v>0</v>
      </c>
      <c r="X8" s="134"/>
      <c r="Y8" s="135" t="s">
        <v>755</v>
      </c>
      <c r="Z8" s="134"/>
      <c r="AA8" s="135" t="s">
        <v>755</v>
      </c>
      <c r="AB8" s="134"/>
    </row>
    <row r="9" spans="1:28" ht="56.25">
      <c r="A9" s="12" t="s">
        <v>209</v>
      </c>
      <c r="B9" s="12" t="s">
        <v>6</v>
      </c>
      <c r="C9" s="12"/>
      <c r="D9" s="12" t="s">
        <v>10</v>
      </c>
      <c r="E9" s="12" t="s">
        <v>148</v>
      </c>
      <c r="F9" s="15" t="s">
        <v>361</v>
      </c>
      <c r="G9" s="15" t="s">
        <v>405</v>
      </c>
      <c r="H9" s="15"/>
      <c r="I9" s="15"/>
      <c r="L9" s="133">
        <v>7</v>
      </c>
      <c r="M9" s="133">
        <v>1</v>
      </c>
      <c r="N9" s="133">
        <v>9202</v>
      </c>
      <c r="O9" s="163">
        <v>45901</v>
      </c>
      <c r="P9" s="166">
        <v>45901.75</v>
      </c>
      <c r="Q9" s="163">
        <v>45901</v>
      </c>
      <c r="R9" s="166">
        <v>45901.75</v>
      </c>
      <c r="S9" s="133">
        <v>32817</v>
      </c>
      <c r="T9" s="133">
        <v>4</v>
      </c>
      <c r="U9" s="134"/>
      <c r="V9" s="135" t="s">
        <v>848</v>
      </c>
      <c r="W9" s="133">
        <v>0</v>
      </c>
      <c r="X9" s="134"/>
      <c r="Y9" s="135" t="s">
        <v>755</v>
      </c>
      <c r="Z9" s="134"/>
      <c r="AA9" s="135" t="s">
        <v>755</v>
      </c>
      <c r="AB9" s="134"/>
    </row>
    <row r="10" spans="1:28" ht="75">
      <c r="A10" s="63" t="s">
        <v>210</v>
      </c>
      <c r="B10" s="63" t="s">
        <v>3</v>
      </c>
      <c r="C10" s="63"/>
      <c r="D10" s="63" t="s">
        <v>9</v>
      </c>
      <c r="E10" s="32" t="s">
        <v>204</v>
      </c>
      <c r="F10" s="12" t="s">
        <v>144</v>
      </c>
      <c r="G10" s="15" t="s">
        <v>365</v>
      </c>
      <c r="H10" s="15"/>
      <c r="I10" s="16" t="s">
        <v>69</v>
      </c>
      <c r="L10" s="133">
        <v>8</v>
      </c>
      <c r="M10" s="133">
        <v>1</v>
      </c>
      <c r="N10" s="133">
        <v>9201</v>
      </c>
      <c r="O10" s="163">
        <v>45901</v>
      </c>
      <c r="P10" s="166">
        <v>45901.833333333336</v>
      </c>
      <c r="Q10" s="163">
        <v>45902</v>
      </c>
      <c r="R10" s="166">
        <v>45902.75</v>
      </c>
      <c r="S10" s="133">
        <v>32817</v>
      </c>
      <c r="T10" s="133">
        <v>4</v>
      </c>
      <c r="U10" s="134"/>
      <c r="V10" s="135" t="s">
        <v>849</v>
      </c>
      <c r="W10" s="133">
        <v>0</v>
      </c>
      <c r="X10" s="134"/>
      <c r="Y10" s="135" t="s">
        <v>755</v>
      </c>
      <c r="Z10" s="133">
        <v>0</v>
      </c>
      <c r="AA10" s="135" t="s">
        <v>680</v>
      </c>
      <c r="AB10" s="134"/>
    </row>
    <row r="11" spans="1:28" ht="37.5">
      <c r="A11" s="12" t="s">
        <v>56</v>
      </c>
      <c r="B11" s="12" t="s">
        <v>3</v>
      </c>
      <c r="C11" s="12"/>
      <c r="D11" s="12" t="s">
        <v>10</v>
      </c>
      <c r="E11" s="30" t="s">
        <v>204</v>
      </c>
      <c r="F11" s="15" t="s">
        <v>340</v>
      </c>
      <c r="G11" s="15" t="s">
        <v>341</v>
      </c>
      <c r="H11" s="15"/>
      <c r="I11" s="15"/>
      <c r="L11" s="133">
        <v>9</v>
      </c>
      <c r="M11" s="133">
        <v>2</v>
      </c>
      <c r="N11" s="133">
        <v>9202</v>
      </c>
      <c r="O11" s="163">
        <v>45717</v>
      </c>
      <c r="P11" s="166">
        <v>45717.375</v>
      </c>
      <c r="Q11" s="163">
        <v>45717</v>
      </c>
      <c r="R11" s="166">
        <v>45717.375</v>
      </c>
      <c r="S11" s="133">
        <v>32817</v>
      </c>
      <c r="T11" s="133">
        <v>1</v>
      </c>
      <c r="U11" s="134"/>
      <c r="V11" s="135" t="s">
        <v>848</v>
      </c>
      <c r="W11" s="133">
        <v>0</v>
      </c>
      <c r="X11" s="134"/>
      <c r="Y11" s="135" t="s">
        <v>755</v>
      </c>
      <c r="Z11" s="134"/>
      <c r="AA11" s="135" t="s">
        <v>755</v>
      </c>
      <c r="AB11" s="134"/>
    </row>
    <row r="12" spans="1:28" ht="37.5">
      <c r="A12" s="12" t="s">
        <v>57</v>
      </c>
      <c r="B12" s="12" t="s">
        <v>3</v>
      </c>
      <c r="C12" s="12"/>
      <c r="D12" s="12" t="s">
        <v>10</v>
      </c>
      <c r="E12" s="33" t="s">
        <v>150</v>
      </c>
      <c r="F12" s="15" t="s">
        <v>221</v>
      </c>
      <c r="G12" s="15" t="s">
        <v>222</v>
      </c>
      <c r="H12" s="15"/>
      <c r="I12" s="15"/>
      <c r="L12" s="133">
        <v>10</v>
      </c>
      <c r="M12" s="133">
        <v>2</v>
      </c>
      <c r="N12" s="133">
        <v>9202</v>
      </c>
      <c r="O12" s="163">
        <v>45747</v>
      </c>
      <c r="P12" s="166">
        <v>45747.375</v>
      </c>
      <c r="Q12" s="163">
        <v>45747</v>
      </c>
      <c r="R12" s="166">
        <v>45747.375</v>
      </c>
      <c r="S12" s="133">
        <v>32817</v>
      </c>
      <c r="T12" s="133">
        <v>1</v>
      </c>
      <c r="U12" s="134"/>
      <c r="V12" s="135" t="s">
        <v>848</v>
      </c>
      <c r="W12" s="133">
        <v>0</v>
      </c>
      <c r="X12" s="134"/>
      <c r="Y12" s="135" t="s">
        <v>755</v>
      </c>
      <c r="Z12" s="134"/>
      <c r="AA12" s="135" t="s">
        <v>755</v>
      </c>
      <c r="AB12" s="134"/>
    </row>
    <row r="13" spans="1:28" ht="37.5">
      <c r="A13" s="12" t="s">
        <v>211</v>
      </c>
      <c r="B13" s="12" t="s">
        <v>4</v>
      </c>
      <c r="C13" s="12">
        <v>50</v>
      </c>
      <c r="D13" s="12" t="s">
        <v>10</v>
      </c>
      <c r="E13" s="12" t="s">
        <v>148</v>
      </c>
      <c r="F13" s="15" t="s">
        <v>337</v>
      </c>
      <c r="G13" s="15" t="s">
        <v>223</v>
      </c>
      <c r="H13" s="15"/>
      <c r="I13" s="15"/>
      <c r="L13" s="133">
        <v>11</v>
      </c>
      <c r="M13" s="133">
        <v>2</v>
      </c>
      <c r="N13" s="133">
        <v>9201</v>
      </c>
      <c r="O13" s="163">
        <v>45748</v>
      </c>
      <c r="P13" s="166">
        <v>45748.416666666664</v>
      </c>
      <c r="Q13" s="163">
        <v>2958465</v>
      </c>
      <c r="R13" s="166">
        <v>2958465</v>
      </c>
      <c r="S13" s="133">
        <v>32817</v>
      </c>
      <c r="T13" s="133">
        <v>1</v>
      </c>
      <c r="U13" s="134"/>
      <c r="V13" s="135" t="s">
        <v>849</v>
      </c>
      <c r="W13" s="133">
        <v>0</v>
      </c>
      <c r="X13" s="134"/>
      <c r="Y13" s="135" t="s">
        <v>755</v>
      </c>
      <c r="Z13" s="134"/>
      <c r="AA13" s="135" t="s">
        <v>755</v>
      </c>
      <c r="AB13" s="134"/>
    </row>
    <row r="14" spans="1:28" ht="37.5">
      <c r="A14" s="12" t="s">
        <v>212</v>
      </c>
      <c r="B14" s="12" t="s">
        <v>3</v>
      </c>
      <c r="C14" s="12"/>
      <c r="D14" s="12" t="s">
        <v>10</v>
      </c>
      <c r="E14" s="12" t="s">
        <v>148</v>
      </c>
      <c r="F14" s="15" t="s">
        <v>337</v>
      </c>
      <c r="G14" s="15" t="s">
        <v>342</v>
      </c>
      <c r="H14" s="15"/>
      <c r="I14" s="15"/>
      <c r="L14" s="133">
        <v>12</v>
      </c>
      <c r="M14" s="133">
        <v>3</v>
      </c>
      <c r="N14" s="133">
        <v>9202</v>
      </c>
      <c r="O14" s="163">
        <v>45717</v>
      </c>
      <c r="P14" s="166">
        <v>45717.375</v>
      </c>
      <c r="Q14" s="163">
        <v>45717</v>
      </c>
      <c r="R14" s="166">
        <v>45717.375</v>
      </c>
      <c r="S14" s="133">
        <v>32817</v>
      </c>
      <c r="T14" s="133">
        <v>1</v>
      </c>
      <c r="U14" s="134"/>
      <c r="V14" s="135" t="s">
        <v>848</v>
      </c>
      <c r="W14" s="133">
        <v>0</v>
      </c>
      <c r="X14" s="134"/>
      <c r="Y14" s="135" t="s">
        <v>755</v>
      </c>
      <c r="Z14" s="134"/>
      <c r="AA14" s="135" t="s">
        <v>755</v>
      </c>
      <c r="AB14" s="134"/>
    </row>
    <row r="15" spans="1:28">
      <c r="A15" s="61" t="s">
        <v>213</v>
      </c>
      <c r="B15" s="61" t="s">
        <v>3</v>
      </c>
      <c r="C15" s="61"/>
      <c r="D15" s="61" t="s">
        <v>10</v>
      </c>
      <c r="E15" s="61"/>
      <c r="F15" s="61"/>
      <c r="G15" s="62" t="s">
        <v>68</v>
      </c>
      <c r="H15" s="62"/>
      <c r="I15" s="62"/>
      <c r="L15" s="133">
        <v>13</v>
      </c>
      <c r="M15" s="133">
        <v>3</v>
      </c>
      <c r="N15" s="133">
        <v>9202</v>
      </c>
      <c r="O15" s="163">
        <v>45747</v>
      </c>
      <c r="P15" s="166">
        <v>45747.375</v>
      </c>
      <c r="Q15" s="163">
        <v>45747</v>
      </c>
      <c r="R15" s="166">
        <v>45747.375</v>
      </c>
      <c r="S15" s="133">
        <v>32817</v>
      </c>
      <c r="T15" s="133">
        <v>1</v>
      </c>
      <c r="U15" s="134"/>
      <c r="V15" s="135" t="s">
        <v>848</v>
      </c>
      <c r="W15" s="133">
        <v>0</v>
      </c>
      <c r="X15" s="134"/>
      <c r="Y15" s="135" t="s">
        <v>755</v>
      </c>
      <c r="Z15" s="134"/>
      <c r="AA15" s="135" t="s">
        <v>755</v>
      </c>
      <c r="AB15" s="134"/>
    </row>
    <row r="16" spans="1:28">
      <c r="A16" s="61" t="s">
        <v>214</v>
      </c>
      <c r="B16" s="61" t="s">
        <v>4</v>
      </c>
      <c r="C16" s="61">
        <v>50</v>
      </c>
      <c r="D16" s="61" t="s">
        <v>10</v>
      </c>
      <c r="E16" s="61"/>
      <c r="F16" s="61"/>
      <c r="G16" s="62" t="s">
        <v>68</v>
      </c>
      <c r="H16" s="62"/>
      <c r="I16" s="62"/>
      <c r="L16" s="133">
        <v>14</v>
      </c>
      <c r="M16" s="133">
        <v>3</v>
      </c>
      <c r="N16" s="133">
        <v>9201</v>
      </c>
      <c r="O16" s="163">
        <v>45748</v>
      </c>
      <c r="P16" s="166">
        <v>45748.416666666664</v>
      </c>
      <c r="Q16" s="163">
        <v>2958465</v>
      </c>
      <c r="R16" s="166">
        <v>2958465</v>
      </c>
      <c r="S16" s="133">
        <v>32817</v>
      </c>
      <c r="T16" s="133">
        <v>1</v>
      </c>
      <c r="U16" s="134"/>
      <c r="V16" s="135" t="s">
        <v>849</v>
      </c>
      <c r="W16" s="133">
        <v>0</v>
      </c>
      <c r="X16" s="134"/>
      <c r="Y16" s="135" t="s">
        <v>755</v>
      </c>
      <c r="Z16" s="134"/>
      <c r="AA16" s="135" t="s">
        <v>755</v>
      </c>
      <c r="AB16" s="134"/>
    </row>
    <row r="17" spans="1:9" ht="75">
      <c r="A17" s="12" t="s">
        <v>698</v>
      </c>
      <c r="B17" s="12" t="s">
        <v>3</v>
      </c>
      <c r="C17" s="12"/>
      <c r="D17" s="12" t="s">
        <v>10</v>
      </c>
      <c r="E17" s="30" t="s">
        <v>204</v>
      </c>
      <c r="F17" s="15" t="s">
        <v>366</v>
      </c>
      <c r="G17" s="15" t="s">
        <v>367</v>
      </c>
      <c r="H17" s="120" t="s">
        <v>744</v>
      </c>
      <c r="I17" s="16" t="s">
        <v>219</v>
      </c>
    </row>
    <row r="18" spans="1:9" ht="37.5">
      <c r="A18" s="12" t="s">
        <v>216</v>
      </c>
      <c r="B18" s="12" t="s">
        <v>4</v>
      </c>
      <c r="C18" s="12">
        <v>50</v>
      </c>
      <c r="D18" s="12" t="s">
        <v>10</v>
      </c>
      <c r="E18" s="12" t="s">
        <v>148</v>
      </c>
      <c r="F18" s="15" t="s">
        <v>366</v>
      </c>
      <c r="G18" s="15" t="s">
        <v>368</v>
      </c>
      <c r="H18" s="15"/>
      <c r="I18" s="15"/>
    </row>
    <row r="19" spans="1:9">
      <c r="A19" s="61" t="s">
        <v>217</v>
      </c>
      <c r="B19" s="61" t="s">
        <v>3</v>
      </c>
      <c r="C19" s="61"/>
      <c r="D19" s="61" t="s">
        <v>10</v>
      </c>
      <c r="E19" s="61"/>
      <c r="F19" s="61"/>
      <c r="G19" s="62"/>
      <c r="H19" s="62"/>
      <c r="I19" s="62"/>
    </row>
    <row r="21" spans="1:9">
      <c r="A21" s="250" t="s">
        <v>1801</v>
      </c>
      <c r="B21" s="17"/>
    </row>
    <row r="22" spans="1:9">
      <c r="A22" s="250" t="s">
        <v>1797</v>
      </c>
      <c r="B22" s="17"/>
    </row>
    <row r="23" spans="1:9">
      <c r="A23" s="250" t="s">
        <v>1803</v>
      </c>
      <c r="B23" s="17"/>
    </row>
    <row r="24" spans="1:9">
      <c r="A24" s="250" t="s">
        <v>1802</v>
      </c>
      <c r="B24" s="17"/>
    </row>
    <row r="25" spans="1:9">
      <c r="A25" s="250" t="s">
        <v>1800</v>
      </c>
      <c r="B25" s="17"/>
      <c r="D25" s="19"/>
    </row>
    <row r="26" spans="1:9">
      <c r="A26" s="250"/>
      <c r="B26" s="17"/>
    </row>
    <row r="27" spans="1:9">
      <c r="B27" s="17"/>
    </row>
    <row r="28" spans="1:9">
      <c r="B28" s="17"/>
    </row>
    <row r="29" spans="1:9">
      <c r="A29" s="17"/>
      <c r="B29" s="17"/>
    </row>
    <row r="30" spans="1:9">
      <c r="A30" s="17"/>
      <c r="B30" s="17"/>
    </row>
    <row r="31" spans="1:9">
      <c r="A31" s="17"/>
      <c r="B31" s="17"/>
    </row>
    <row r="32" spans="1:9">
      <c r="A32" s="17"/>
    </row>
    <row r="36" spans="1:2">
      <c r="A36" s="17"/>
    </row>
    <row r="37" spans="1:2">
      <c r="A37" s="17"/>
      <c r="B37" s="17"/>
    </row>
    <row r="41" spans="1:2">
      <c r="A41" s="17"/>
    </row>
    <row r="42" spans="1:2">
      <c r="A42" s="17"/>
      <c r="B42" s="17"/>
    </row>
    <row r="43" spans="1:2">
      <c r="A43" s="17"/>
      <c r="B43" s="17"/>
    </row>
    <row r="44" spans="1:2">
      <c r="A44" s="17"/>
      <c r="B44" s="17"/>
    </row>
    <row r="45" spans="1:2">
      <c r="A45" s="17"/>
      <c r="B45" s="17"/>
    </row>
    <row r="46" spans="1:2">
      <c r="A46" s="17"/>
      <c r="B46" s="17"/>
    </row>
    <row r="47" spans="1:2">
      <c r="A47" s="17"/>
      <c r="B47" s="17"/>
    </row>
    <row r="48" spans="1:2">
      <c r="A48" s="17"/>
      <c r="B48" s="17"/>
    </row>
    <row r="49" spans="1:2">
      <c r="A49" s="17"/>
      <c r="B49" s="17"/>
    </row>
    <row r="50" spans="1:2">
      <c r="A50" s="17"/>
      <c r="B50" s="17"/>
    </row>
    <row r="51" spans="1:2">
      <c r="A51" s="17"/>
      <c r="B51" s="17"/>
    </row>
  </sheetData>
  <autoFilter ref="A2:I19" xr:uid="{88BB2712-99BE-4C24-89F1-166DD0C19BD8}"/>
  <phoneticPr fontId="1"/>
  <hyperlinks>
    <hyperlink ref="I5" r:id="rId1" xr:uid="{1C8D8362-D2B0-4160-8FD4-29FDF815BE7A}"/>
    <hyperlink ref="I10" r:id="rId2" xr:uid="{CF0729B7-4C0C-4509-85A7-6508E0F47337}"/>
    <hyperlink ref="I17" r:id="rId3" xr:uid="{00E1C000-822D-4E15-8315-CDEC907B63E7}"/>
  </hyperlinks>
  <pageMargins left="0.7" right="0.7" top="0.75" bottom="0.75" header="0.3" footer="0.3"/>
  <pageSetup paperSize="9" orientation="portrait"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87422-87F6-46B3-BAB8-F1CA08E4CECE}">
  <sheetPr codeName="Sheet50"/>
  <dimension ref="A1:AD43"/>
  <sheetViews>
    <sheetView zoomScaleNormal="100" workbookViewId="0">
      <pane xSplit="2" ySplit="2" topLeftCell="C13" activePane="bottomRight" state="frozen"/>
      <selection pane="topRight" activeCell="C1" sqref="C1"/>
      <selection pane="bottomLeft" activeCell="A3" sqref="A3"/>
      <selection pane="bottomRight"/>
    </sheetView>
  </sheetViews>
  <sheetFormatPr defaultRowHeight="18.75"/>
  <cols>
    <col min="1" max="1" width="27.875" bestFit="1" customWidth="1"/>
    <col min="2" max="2" width="26.875" bestFit="1" customWidth="1"/>
    <col min="3" max="3" width="11.125" bestFit="1" customWidth="1"/>
    <col min="4" max="4" width="10.125" bestFit="1" customWidth="1"/>
    <col min="5" max="5" width="22" customWidth="1"/>
    <col min="6" max="6" width="29.625" customWidth="1"/>
    <col min="7" max="7" width="62.375" style="3" customWidth="1"/>
    <col min="8" max="8" width="21.75" style="3" bestFit="1" customWidth="1"/>
    <col min="9" max="9" width="35.375" style="3" customWidth="1"/>
    <col min="12" max="12" width="11.375" bestFit="1" customWidth="1"/>
    <col min="13" max="13" width="8.625" bestFit="1" customWidth="1"/>
    <col min="14" max="14" width="18.875" bestFit="1" customWidth="1"/>
    <col min="15" max="15" width="18.375" style="155" bestFit="1" customWidth="1"/>
    <col min="16" max="16" width="22.125" style="164" bestFit="1" customWidth="1"/>
    <col min="17" max="17" width="17.375" style="155" bestFit="1" customWidth="1"/>
    <col min="18" max="18" width="21.125" style="164" bestFit="1" customWidth="1"/>
    <col min="19" max="19" width="23.375" bestFit="1" customWidth="1"/>
    <col min="20" max="20" width="9.625" bestFit="1" customWidth="1"/>
    <col min="21" max="21" width="10.25" bestFit="1" customWidth="1"/>
    <col min="22" max="22" width="39.5" customWidth="1"/>
    <col min="23" max="23" width="25.5" bestFit="1" customWidth="1"/>
    <col min="24" max="24" width="22.125" bestFit="1" customWidth="1"/>
    <col min="25" max="25" width="24.125" bestFit="1" customWidth="1"/>
    <col min="26" max="26" width="23.875" bestFit="1" customWidth="1"/>
    <col min="27" max="27" width="21.75" bestFit="1" customWidth="1"/>
    <col min="28" max="28" width="20.125" bestFit="1" customWidth="1"/>
    <col min="29" max="29" width="17.375" bestFit="1" customWidth="1"/>
    <col min="30" max="30" width="16.75" bestFit="1" customWidth="1"/>
  </cols>
  <sheetData>
    <row r="1" spans="1:30">
      <c r="A1" s="6" t="s">
        <v>406</v>
      </c>
      <c r="D1" s="7"/>
      <c r="L1" s="6" t="s">
        <v>807</v>
      </c>
    </row>
    <row r="2" spans="1:30">
      <c r="A2" s="2" t="s">
        <v>0</v>
      </c>
      <c r="B2" s="2" t="s">
        <v>1</v>
      </c>
      <c r="C2" s="2" t="s">
        <v>2</v>
      </c>
      <c r="D2" s="2" t="s">
        <v>8</v>
      </c>
      <c r="E2" s="5" t="s">
        <v>151</v>
      </c>
      <c r="F2" s="5" t="s">
        <v>63</v>
      </c>
      <c r="G2" s="5" t="s">
        <v>145</v>
      </c>
      <c r="H2" s="5" t="s">
        <v>743</v>
      </c>
      <c r="I2" s="5" t="s">
        <v>85</v>
      </c>
      <c r="L2" s="136" t="s">
        <v>77</v>
      </c>
      <c r="M2" s="136" t="s">
        <v>49</v>
      </c>
      <c r="N2" s="136" t="s">
        <v>414</v>
      </c>
      <c r="O2" s="167" t="s">
        <v>415</v>
      </c>
      <c r="P2" s="169" t="s">
        <v>416</v>
      </c>
      <c r="Q2" s="167" t="s">
        <v>417</v>
      </c>
      <c r="R2" s="169" t="s">
        <v>418</v>
      </c>
      <c r="S2" s="136" t="s">
        <v>419</v>
      </c>
      <c r="T2" s="136" t="s">
        <v>56</v>
      </c>
      <c r="U2" s="136" t="s">
        <v>57</v>
      </c>
      <c r="V2" s="136" t="s">
        <v>420</v>
      </c>
      <c r="W2" s="136" t="s">
        <v>421</v>
      </c>
      <c r="X2" s="136" t="s">
        <v>213</v>
      </c>
      <c r="Y2" s="136" t="s">
        <v>214</v>
      </c>
      <c r="Z2" s="136" t="s">
        <v>216</v>
      </c>
      <c r="AA2" s="136" t="s">
        <v>215</v>
      </c>
      <c r="AB2" s="136" t="s">
        <v>422</v>
      </c>
      <c r="AC2" s="136" t="s">
        <v>423</v>
      </c>
      <c r="AD2" s="136" t="s">
        <v>76</v>
      </c>
    </row>
    <row r="3" spans="1:30">
      <c r="A3" s="66" t="s">
        <v>77</v>
      </c>
      <c r="B3" s="66" t="s">
        <v>3</v>
      </c>
      <c r="C3" s="66"/>
      <c r="D3" s="66" t="s">
        <v>9</v>
      </c>
      <c r="E3" s="67" t="s">
        <v>357</v>
      </c>
      <c r="F3" s="15"/>
      <c r="G3" s="12" t="s">
        <v>356</v>
      </c>
      <c r="H3" s="12"/>
      <c r="I3" s="15"/>
      <c r="L3" s="137">
        <v>1</v>
      </c>
      <c r="M3" s="137">
        <v>1</v>
      </c>
      <c r="N3" s="137">
        <v>4161975</v>
      </c>
      <c r="O3" s="168">
        <v>45758</v>
      </c>
      <c r="P3" s="170">
        <v>45758.416666666664</v>
      </c>
      <c r="Q3" s="168">
        <v>45758</v>
      </c>
      <c r="R3" s="170">
        <v>45758.416666666664</v>
      </c>
      <c r="S3" s="137">
        <v>32817</v>
      </c>
      <c r="T3" s="137">
        <v>4</v>
      </c>
      <c r="U3" s="138"/>
      <c r="V3" s="139" t="s">
        <v>850</v>
      </c>
      <c r="W3" s="137">
        <v>0</v>
      </c>
      <c r="X3" s="138"/>
      <c r="Y3" s="139" t="s">
        <v>755</v>
      </c>
      <c r="Z3" s="139" t="s">
        <v>755</v>
      </c>
      <c r="AA3" s="138"/>
      <c r="AB3" s="138"/>
      <c r="AC3" s="137">
        <v>0</v>
      </c>
      <c r="AD3" s="137">
        <v>0</v>
      </c>
    </row>
    <row r="4" spans="1:30" ht="37.5">
      <c r="A4" s="66" t="s">
        <v>49</v>
      </c>
      <c r="B4" s="66" t="s">
        <v>3</v>
      </c>
      <c r="C4" s="66"/>
      <c r="D4" s="66" t="s">
        <v>9</v>
      </c>
      <c r="E4" s="30" t="s">
        <v>204</v>
      </c>
      <c r="F4" s="15" t="s">
        <v>358</v>
      </c>
      <c r="G4" s="15" t="s">
        <v>359</v>
      </c>
      <c r="H4" s="15"/>
      <c r="I4" s="15"/>
      <c r="L4" s="137">
        <v>2</v>
      </c>
      <c r="M4" s="137">
        <v>1</v>
      </c>
      <c r="N4" s="137">
        <v>8602</v>
      </c>
      <c r="O4" s="168">
        <v>45762</v>
      </c>
      <c r="P4" s="170">
        <v>45762.416666666664</v>
      </c>
      <c r="Q4" s="168">
        <v>45763</v>
      </c>
      <c r="R4" s="170">
        <v>45763.416666666664</v>
      </c>
      <c r="S4" s="137">
        <v>32817</v>
      </c>
      <c r="T4" s="137">
        <v>4</v>
      </c>
      <c r="U4" s="138"/>
      <c r="V4" s="139" t="s">
        <v>851</v>
      </c>
      <c r="W4" s="137">
        <v>0</v>
      </c>
      <c r="X4" s="138"/>
      <c r="Y4" s="139" t="s">
        <v>755</v>
      </c>
      <c r="Z4" s="139" t="s">
        <v>755</v>
      </c>
      <c r="AA4" s="138"/>
      <c r="AB4" s="138"/>
      <c r="AC4" s="137">
        <v>0</v>
      </c>
      <c r="AD4" s="137">
        <v>0</v>
      </c>
    </row>
    <row r="5" spans="1:30" ht="262.5">
      <c r="A5" s="66" t="s">
        <v>414</v>
      </c>
      <c r="B5" s="66" t="s">
        <v>3</v>
      </c>
      <c r="C5" s="66"/>
      <c r="D5" s="66" t="s">
        <v>9</v>
      </c>
      <c r="E5" s="30" t="s">
        <v>204</v>
      </c>
      <c r="F5" s="15" t="s">
        <v>337</v>
      </c>
      <c r="G5" s="15" t="s">
        <v>425</v>
      </c>
      <c r="H5" s="120" t="s">
        <v>744</v>
      </c>
      <c r="I5" s="16" t="s">
        <v>219</v>
      </c>
      <c r="L5" s="137">
        <v>3</v>
      </c>
      <c r="M5" s="137">
        <v>2</v>
      </c>
      <c r="N5" s="137">
        <v>8602</v>
      </c>
      <c r="O5" s="168">
        <v>45762</v>
      </c>
      <c r="P5" s="170">
        <v>45762.416666666664</v>
      </c>
      <c r="Q5" s="168">
        <v>45763</v>
      </c>
      <c r="R5" s="170">
        <v>45763.416666666664</v>
      </c>
      <c r="S5" s="137">
        <v>32817</v>
      </c>
      <c r="T5" s="137">
        <v>4</v>
      </c>
      <c r="U5" s="138"/>
      <c r="V5" s="139" t="s">
        <v>851</v>
      </c>
      <c r="W5" s="137">
        <v>0</v>
      </c>
      <c r="X5" s="138"/>
      <c r="Y5" s="139" t="s">
        <v>755</v>
      </c>
      <c r="Z5" s="139" t="s">
        <v>755</v>
      </c>
      <c r="AA5" s="138"/>
      <c r="AB5" s="138"/>
      <c r="AC5" s="137">
        <v>0</v>
      </c>
      <c r="AD5" s="137">
        <v>0</v>
      </c>
    </row>
    <row r="6" spans="1:30" ht="37.5">
      <c r="A6" s="66" t="s">
        <v>415</v>
      </c>
      <c r="B6" s="66" t="s">
        <v>5</v>
      </c>
      <c r="C6" s="66"/>
      <c r="D6" s="66" t="s">
        <v>9</v>
      </c>
      <c r="E6" s="67" t="s">
        <v>424</v>
      </c>
      <c r="F6" s="68" t="s">
        <v>1830</v>
      </c>
      <c r="G6" s="68" t="s">
        <v>1831</v>
      </c>
      <c r="H6" s="68"/>
      <c r="I6" s="68"/>
      <c r="L6" s="137">
        <v>4</v>
      </c>
      <c r="M6" s="137">
        <v>3</v>
      </c>
      <c r="N6" s="137">
        <v>4161975</v>
      </c>
      <c r="O6" s="168">
        <v>45758</v>
      </c>
      <c r="P6" s="170">
        <v>45758.416666666664</v>
      </c>
      <c r="Q6" s="168">
        <v>45758</v>
      </c>
      <c r="R6" s="170">
        <v>45758.416666666664</v>
      </c>
      <c r="S6" s="137">
        <v>32817</v>
      </c>
      <c r="T6" s="137">
        <v>4</v>
      </c>
      <c r="U6" s="138"/>
      <c r="V6" s="139" t="s">
        <v>850</v>
      </c>
      <c r="W6" s="137">
        <v>0</v>
      </c>
      <c r="X6" s="138"/>
      <c r="Y6" s="139" t="s">
        <v>755</v>
      </c>
      <c r="Z6" s="139" t="s">
        <v>755</v>
      </c>
      <c r="AA6" s="138"/>
      <c r="AB6" s="138"/>
      <c r="AC6" s="137">
        <v>0</v>
      </c>
      <c r="AD6" s="137">
        <v>0</v>
      </c>
    </row>
    <row r="7" spans="1:30" ht="56.25">
      <c r="A7" s="67" t="s">
        <v>416</v>
      </c>
      <c r="B7" s="67" t="s">
        <v>6</v>
      </c>
      <c r="C7" s="67"/>
      <c r="D7" s="67" t="s">
        <v>10</v>
      </c>
      <c r="E7" s="67" t="s">
        <v>424</v>
      </c>
      <c r="F7" s="68" t="s">
        <v>1833</v>
      </c>
      <c r="G7" s="68" t="s">
        <v>1832</v>
      </c>
      <c r="H7" s="68"/>
      <c r="I7" s="68"/>
      <c r="L7" s="137">
        <v>5</v>
      </c>
      <c r="M7" s="137">
        <v>3</v>
      </c>
      <c r="N7" s="137">
        <v>8602</v>
      </c>
      <c r="O7" s="168">
        <v>45762</v>
      </c>
      <c r="P7" s="170">
        <v>45762.416666666664</v>
      </c>
      <c r="Q7" s="168">
        <v>2958465</v>
      </c>
      <c r="R7" s="170">
        <v>2958465</v>
      </c>
      <c r="S7" s="137">
        <v>32817</v>
      </c>
      <c r="T7" s="137">
        <v>4</v>
      </c>
      <c r="U7" s="138"/>
      <c r="V7" s="139" t="s">
        <v>851</v>
      </c>
      <c r="W7" s="137">
        <v>0</v>
      </c>
      <c r="X7" s="138"/>
      <c r="Y7" s="139" t="s">
        <v>755</v>
      </c>
      <c r="Z7" s="139" t="s">
        <v>755</v>
      </c>
      <c r="AA7" s="138"/>
      <c r="AB7" s="138"/>
      <c r="AC7" s="137">
        <v>0</v>
      </c>
      <c r="AD7" s="137">
        <v>0</v>
      </c>
    </row>
    <row r="8" spans="1:30" ht="75">
      <c r="A8" s="66" t="s">
        <v>417</v>
      </c>
      <c r="B8" s="66" t="s">
        <v>5</v>
      </c>
      <c r="C8" s="66"/>
      <c r="D8" s="66" t="s">
        <v>9</v>
      </c>
      <c r="E8" s="67" t="s">
        <v>424</v>
      </c>
      <c r="F8" s="68" t="s">
        <v>1830</v>
      </c>
      <c r="G8" s="68" t="s">
        <v>1834</v>
      </c>
      <c r="H8" s="68"/>
      <c r="I8" s="68"/>
    </row>
    <row r="9" spans="1:30" ht="93.75">
      <c r="A9" s="67" t="s">
        <v>418</v>
      </c>
      <c r="B9" s="67" t="s">
        <v>6</v>
      </c>
      <c r="C9" s="67"/>
      <c r="D9" s="67" t="s">
        <v>10</v>
      </c>
      <c r="E9" s="67" t="s">
        <v>424</v>
      </c>
      <c r="F9" s="68" t="s">
        <v>1833</v>
      </c>
      <c r="G9" s="68" t="s">
        <v>1835</v>
      </c>
      <c r="H9" s="68"/>
      <c r="I9" s="68"/>
    </row>
    <row r="10" spans="1:30" ht="75">
      <c r="A10" s="66" t="s">
        <v>419</v>
      </c>
      <c r="B10" s="66" t="s">
        <v>3</v>
      </c>
      <c r="C10" s="66"/>
      <c r="D10" s="66" t="s">
        <v>9</v>
      </c>
      <c r="E10" s="33" t="s">
        <v>150</v>
      </c>
      <c r="F10" s="12" t="s">
        <v>144</v>
      </c>
      <c r="G10" s="15" t="s">
        <v>365</v>
      </c>
      <c r="H10" s="15"/>
      <c r="I10" s="16" t="s">
        <v>69</v>
      </c>
    </row>
    <row r="11" spans="1:30" ht="37.5">
      <c r="A11" s="67" t="s">
        <v>56</v>
      </c>
      <c r="B11" s="67" t="s">
        <v>3</v>
      </c>
      <c r="C11" s="67"/>
      <c r="D11" s="67" t="s">
        <v>10</v>
      </c>
      <c r="E11" s="30" t="s">
        <v>204</v>
      </c>
      <c r="F11" s="15" t="s">
        <v>340</v>
      </c>
      <c r="G11" s="15" t="s">
        <v>341</v>
      </c>
      <c r="H11" s="15"/>
      <c r="I11" s="15"/>
    </row>
    <row r="12" spans="1:30" ht="37.5">
      <c r="A12" s="67" t="s">
        <v>57</v>
      </c>
      <c r="B12" s="67" t="s">
        <v>3</v>
      </c>
      <c r="C12" s="67"/>
      <c r="D12" s="67" t="s">
        <v>10</v>
      </c>
      <c r="E12" s="33" t="s">
        <v>150</v>
      </c>
      <c r="F12" s="15" t="s">
        <v>221</v>
      </c>
      <c r="G12" s="15" t="s">
        <v>222</v>
      </c>
      <c r="H12" s="15"/>
      <c r="I12" s="15"/>
    </row>
    <row r="13" spans="1:30" ht="37.5">
      <c r="A13" s="67" t="s">
        <v>420</v>
      </c>
      <c r="B13" s="67" t="s">
        <v>4</v>
      </c>
      <c r="C13" s="67">
        <v>50</v>
      </c>
      <c r="D13" s="67" t="s">
        <v>10</v>
      </c>
      <c r="E13" s="12" t="s">
        <v>148</v>
      </c>
      <c r="F13" s="15" t="s">
        <v>337</v>
      </c>
      <c r="G13" s="15" t="s">
        <v>223</v>
      </c>
      <c r="H13" s="15"/>
      <c r="I13" s="15"/>
    </row>
    <row r="14" spans="1:30" ht="37.5">
      <c r="A14" s="67" t="s">
        <v>421</v>
      </c>
      <c r="B14" s="67" t="s">
        <v>3</v>
      </c>
      <c r="C14" s="67"/>
      <c r="D14" s="67" t="s">
        <v>10</v>
      </c>
      <c r="E14" s="12" t="s">
        <v>148</v>
      </c>
      <c r="F14" s="15" t="s">
        <v>337</v>
      </c>
      <c r="G14" s="15" t="s">
        <v>342</v>
      </c>
      <c r="H14" s="15"/>
      <c r="I14" s="15"/>
    </row>
    <row r="15" spans="1:30">
      <c r="A15" s="70" t="s">
        <v>213</v>
      </c>
      <c r="B15" s="70" t="s">
        <v>3</v>
      </c>
      <c r="C15" s="70"/>
      <c r="D15" s="70" t="s">
        <v>10</v>
      </c>
      <c r="E15" s="71"/>
      <c r="F15" s="62"/>
      <c r="G15" s="62" t="s">
        <v>68</v>
      </c>
      <c r="H15" s="62"/>
      <c r="I15" s="62"/>
    </row>
    <row r="16" spans="1:30">
      <c r="A16" s="70" t="s">
        <v>214</v>
      </c>
      <c r="B16" s="70" t="s">
        <v>4</v>
      </c>
      <c r="C16" s="70">
        <v>50</v>
      </c>
      <c r="D16" s="70" t="s">
        <v>10</v>
      </c>
      <c r="E16" s="61"/>
      <c r="F16" s="62"/>
      <c r="G16" s="62" t="s">
        <v>68</v>
      </c>
      <c r="H16" s="62"/>
      <c r="I16" s="62"/>
    </row>
    <row r="17" spans="1:9">
      <c r="A17" s="70" t="s">
        <v>216</v>
      </c>
      <c r="B17" s="70" t="s">
        <v>4</v>
      </c>
      <c r="C17" s="70">
        <v>50</v>
      </c>
      <c r="D17" s="70" t="s">
        <v>10</v>
      </c>
      <c r="E17" s="71"/>
      <c r="F17" s="62"/>
      <c r="G17" s="62" t="s">
        <v>68</v>
      </c>
      <c r="H17" s="62"/>
      <c r="I17" s="62"/>
    </row>
    <row r="18" spans="1:9">
      <c r="A18" s="70" t="s">
        <v>215</v>
      </c>
      <c r="B18" s="70" t="s">
        <v>3</v>
      </c>
      <c r="C18" s="70"/>
      <c r="D18" s="70" t="s">
        <v>10</v>
      </c>
      <c r="E18" s="61"/>
      <c r="F18" s="62"/>
      <c r="G18" s="62" t="s">
        <v>68</v>
      </c>
      <c r="H18" s="62"/>
      <c r="I18" s="62"/>
    </row>
    <row r="19" spans="1:9">
      <c r="A19" s="70" t="s">
        <v>422</v>
      </c>
      <c r="B19" s="70" t="s">
        <v>3</v>
      </c>
      <c r="C19" s="70"/>
      <c r="D19" s="70" t="s">
        <v>10</v>
      </c>
      <c r="E19" s="70"/>
      <c r="F19" s="72"/>
      <c r="G19" s="62" t="s">
        <v>68</v>
      </c>
      <c r="H19" s="62"/>
      <c r="I19" s="72"/>
    </row>
    <row r="20" spans="1:9">
      <c r="A20" s="70" t="s">
        <v>423</v>
      </c>
      <c r="B20" s="70" t="s">
        <v>3</v>
      </c>
      <c r="C20" s="70"/>
      <c r="D20" s="70" t="s">
        <v>10</v>
      </c>
      <c r="E20" s="70"/>
      <c r="F20" s="72"/>
      <c r="G20" s="62" t="s">
        <v>68</v>
      </c>
      <c r="H20" s="62"/>
      <c r="I20" s="72"/>
    </row>
    <row r="21" spans="1:9" ht="56.25">
      <c r="A21" s="66" t="s">
        <v>76</v>
      </c>
      <c r="B21" s="66" t="s">
        <v>3</v>
      </c>
      <c r="C21" s="66"/>
      <c r="D21" s="66" t="s">
        <v>9</v>
      </c>
      <c r="E21" s="30" t="s">
        <v>204</v>
      </c>
      <c r="F21" s="68"/>
      <c r="G21" s="30" t="s">
        <v>426</v>
      </c>
      <c r="H21" s="30"/>
      <c r="I21" s="68"/>
    </row>
    <row r="22" spans="1:9">
      <c r="B22" s="17"/>
    </row>
    <row r="23" spans="1:9">
      <c r="A23" s="250" t="s">
        <v>1798</v>
      </c>
      <c r="B23" s="17"/>
    </row>
    <row r="24" spans="1:9">
      <c r="A24" s="250" t="s">
        <v>1799</v>
      </c>
    </row>
    <row r="25" spans="1:9">
      <c r="A25" s="250" t="s">
        <v>1800</v>
      </c>
    </row>
    <row r="29" spans="1:9">
      <c r="A29" s="17"/>
      <c r="B29" s="17"/>
    </row>
    <row r="33" spans="1:2">
      <c r="A33" s="17"/>
    </row>
    <row r="34" spans="1:2">
      <c r="A34" s="17"/>
      <c r="B34" s="17"/>
    </row>
    <row r="35" spans="1:2">
      <c r="A35" s="17"/>
      <c r="B35" s="17"/>
    </row>
    <row r="36" spans="1:2">
      <c r="A36" s="17"/>
      <c r="B36" s="17"/>
    </row>
    <row r="37" spans="1:2">
      <c r="A37" s="17"/>
      <c r="B37" s="17"/>
    </row>
    <row r="38" spans="1:2">
      <c r="A38" s="17"/>
      <c r="B38" s="17"/>
    </row>
    <row r="39" spans="1:2">
      <c r="A39" s="17"/>
      <c r="B39" s="17"/>
    </row>
    <row r="40" spans="1:2">
      <c r="A40" s="17"/>
      <c r="B40" s="17"/>
    </row>
    <row r="41" spans="1:2">
      <c r="A41" s="17"/>
      <c r="B41" s="17"/>
    </row>
    <row r="42" spans="1:2">
      <c r="A42" s="17"/>
      <c r="B42" s="17"/>
    </row>
    <row r="43" spans="1:2">
      <c r="A43" s="17"/>
      <c r="B43" s="17"/>
    </row>
  </sheetData>
  <autoFilter ref="A2:I21" xr:uid="{88BB2712-99BE-4C24-89F1-166DD0C19BD8}"/>
  <phoneticPr fontId="1"/>
  <hyperlinks>
    <hyperlink ref="I5" r:id="rId1" xr:uid="{97CDA331-93A9-4541-9A72-BF2DD969F883}"/>
    <hyperlink ref="I10" r:id="rId2" xr:uid="{2ED73C19-1686-447F-A33B-92A1488D8199}"/>
  </hyperlinks>
  <pageMargins left="0.7" right="0.7" top="0.75" bottom="0.75" header="0.3" footer="0.3"/>
  <pageSetup paperSize="9" orientation="portrait"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D0E25-51AB-4B81-AC55-EEB1F8FB07E3}">
  <sheetPr codeName="Sheet51"/>
  <dimension ref="A1:S39"/>
  <sheetViews>
    <sheetView zoomScaleNormal="100" workbookViewId="0">
      <pane xSplit="2" ySplit="2" topLeftCell="C3" activePane="bottomRight" state="frozen"/>
      <selection pane="topRight" activeCell="C1" sqref="C1"/>
      <selection pane="bottomLeft" activeCell="A3" sqref="A3"/>
      <selection pane="bottomRight"/>
    </sheetView>
  </sheetViews>
  <sheetFormatPr defaultRowHeight="18.75"/>
  <cols>
    <col min="1" max="1" width="27.875" bestFit="1" customWidth="1"/>
    <col min="2" max="2" width="26.875" bestFit="1" customWidth="1"/>
    <col min="3" max="3" width="11.125" bestFit="1" customWidth="1"/>
    <col min="4" max="4" width="10.125" bestFit="1" customWidth="1"/>
    <col min="5" max="5" width="22" customWidth="1"/>
    <col min="6" max="6" width="29.625" customWidth="1"/>
    <col min="7" max="7" width="62.375" style="3" customWidth="1"/>
    <col min="8" max="8" width="28.375" style="3" customWidth="1"/>
    <col min="9" max="9" width="35.375" style="3" customWidth="1"/>
    <col min="12" max="12" width="8.625" bestFit="1" customWidth="1"/>
    <col min="13" max="13" width="18.125" bestFit="1" customWidth="1"/>
    <col min="14" max="14" width="10.125" style="155" bestFit="1" customWidth="1"/>
    <col min="15" max="15" width="13.375" style="164" bestFit="1" customWidth="1"/>
    <col min="16" max="16" width="19.375" bestFit="1" customWidth="1"/>
    <col min="17" max="17" width="15.375" bestFit="1" customWidth="1"/>
    <col min="18" max="18" width="17.375" bestFit="1" customWidth="1"/>
    <col min="19" max="19" width="21.875" bestFit="1" customWidth="1"/>
  </cols>
  <sheetData>
    <row r="1" spans="1:19">
      <c r="A1" s="6" t="s">
        <v>407</v>
      </c>
      <c r="D1" s="7"/>
      <c r="L1" s="6" t="s">
        <v>807</v>
      </c>
    </row>
    <row r="2" spans="1:19">
      <c r="A2" s="2" t="s">
        <v>0</v>
      </c>
      <c r="B2" s="2" t="s">
        <v>1</v>
      </c>
      <c r="C2" s="2" t="s">
        <v>2</v>
      </c>
      <c r="D2" s="2" t="s">
        <v>8</v>
      </c>
      <c r="E2" s="5" t="s">
        <v>151</v>
      </c>
      <c r="F2" s="5" t="s">
        <v>63</v>
      </c>
      <c r="G2" s="5" t="s">
        <v>145</v>
      </c>
      <c r="H2" s="5" t="s">
        <v>743</v>
      </c>
      <c r="I2" s="5" t="s">
        <v>85</v>
      </c>
      <c r="L2" s="140" t="s">
        <v>49</v>
      </c>
      <c r="M2" s="140" t="s">
        <v>58</v>
      </c>
      <c r="N2" s="171" t="s">
        <v>408</v>
      </c>
      <c r="O2" s="173" t="s">
        <v>409</v>
      </c>
      <c r="P2" s="140" t="s">
        <v>410</v>
      </c>
      <c r="Q2" s="140" t="s">
        <v>411</v>
      </c>
      <c r="R2" s="140" t="s">
        <v>412</v>
      </c>
      <c r="S2" s="140" t="s">
        <v>413</v>
      </c>
    </row>
    <row r="3" spans="1:19" ht="37.5">
      <c r="A3" s="66" t="s">
        <v>49</v>
      </c>
      <c r="B3" s="66" t="s">
        <v>3</v>
      </c>
      <c r="C3" s="66"/>
      <c r="D3" s="66" t="s">
        <v>9</v>
      </c>
      <c r="E3" s="30" t="s">
        <v>204</v>
      </c>
      <c r="F3" s="15" t="s">
        <v>358</v>
      </c>
      <c r="G3" s="15" t="s">
        <v>359</v>
      </c>
      <c r="H3" s="15"/>
      <c r="I3" s="15"/>
      <c r="L3" s="141">
        <v>1</v>
      </c>
      <c r="M3" s="142" t="s">
        <v>836</v>
      </c>
      <c r="N3" s="172">
        <v>45902</v>
      </c>
      <c r="O3" s="174">
        <v>45902.75</v>
      </c>
      <c r="P3" s="141">
        <v>32817</v>
      </c>
      <c r="Q3" s="143"/>
      <c r="R3" s="142" t="s">
        <v>755</v>
      </c>
      <c r="S3" s="143"/>
    </row>
    <row r="4" spans="1:19" ht="56.25">
      <c r="A4" s="66" t="s">
        <v>408</v>
      </c>
      <c r="B4" s="66" t="s">
        <v>5</v>
      </c>
      <c r="C4" s="66"/>
      <c r="D4" s="66" t="s">
        <v>9</v>
      </c>
      <c r="E4" s="12" t="s">
        <v>148</v>
      </c>
      <c r="F4" s="15" t="s">
        <v>339</v>
      </c>
      <c r="G4" s="15" t="s">
        <v>427</v>
      </c>
      <c r="H4" s="15"/>
      <c r="I4" s="68"/>
    </row>
    <row r="5" spans="1:19" ht="56.25">
      <c r="A5" s="67" t="s">
        <v>409</v>
      </c>
      <c r="B5" s="67" t="s">
        <v>6</v>
      </c>
      <c r="C5" s="67"/>
      <c r="D5" s="67" t="s">
        <v>10</v>
      </c>
      <c r="E5" s="12" t="s">
        <v>148</v>
      </c>
      <c r="F5" s="15" t="s">
        <v>339</v>
      </c>
      <c r="G5" s="15" t="s">
        <v>428</v>
      </c>
      <c r="H5" s="15"/>
      <c r="I5" s="69"/>
    </row>
    <row r="6" spans="1:19" ht="75">
      <c r="A6" s="67" t="s">
        <v>410</v>
      </c>
      <c r="B6" s="67" t="s">
        <v>3</v>
      </c>
      <c r="C6" s="67"/>
      <c r="D6" s="67" t="s">
        <v>10</v>
      </c>
      <c r="E6" s="33" t="s">
        <v>150</v>
      </c>
      <c r="F6" s="12" t="s">
        <v>144</v>
      </c>
      <c r="G6" s="15" t="s">
        <v>365</v>
      </c>
      <c r="H6" s="15"/>
      <c r="I6" s="16" t="s">
        <v>69</v>
      </c>
    </row>
    <row r="7" spans="1:19">
      <c r="A7" s="70" t="s">
        <v>411</v>
      </c>
      <c r="B7" s="70" t="s">
        <v>3</v>
      </c>
      <c r="C7" s="70"/>
      <c r="D7" s="70" t="s">
        <v>10</v>
      </c>
      <c r="E7" s="70"/>
      <c r="F7" s="72"/>
      <c r="G7" s="62" t="s">
        <v>68</v>
      </c>
      <c r="H7" s="62"/>
      <c r="I7" s="72"/>
    </row>
    <row r="8" spans="1:19">
      <c r="A8" s="70" t="s">
        <v>412</v>
      </c>
      <c r="B8" s="70" t="s">
        <v>4</v>
      </c>
      <c r="C8" s="70">
        <v>50</v>
      </c>
      <c r="D8" s="70" t="s">
        <v>10</v>
      </c>
      <c r="E8" s="70"/>
      <c r="F8" s="72"/>
      <c r="G8" s="62" t="s">
        <v>68</v>
      </c>
      <c r="H8" s="62"/>
      <c r="I8" s="72"/>
    </row>
    <row r="9" spans="1:19">
      <c r="A9" s="70" t="s">
        <v>413</v>
      </c>
      <c r="B9" s="70" t="s">
        <v>3</v>
      </c>
      <c r="C9" s="70"/>
      <c r="D9" s="70" t="s">
        <v>10</v>
      </c>
      <c r="E9" s="70"/>
      <c r="F9" s="72"/>
      <c r="G9" s="62" t="s">
        <v>68</v>
      </c>
      <c r="H9" s="62"/>
      <c r="I9" s="72"/>
    </row>
    <row r="11" spans="1:19">
      <c r="A11" s="250" t="s">
        <v>1801</v>
      </c>
      <c r="B11" s="17"/>
    </row>
    <row r="12" spans="1:19">
      <c r="A12" s="250" t="s">
        <v>1804</v>
      </c>
      <c r="B12" s="17"/>
    </row>
    <row r="13" spans="1:19">
      <c r="B13" s="17"/>
      <c r="D13" s="19"/>
    </row>
    <row r="14" spans="1:19">
      <c r="A14" s="250"/>
      <c r="B14" s="17"/>
    </row>
    <row r="15" spans="1:19">
      <c r="A15" s="250"/>
      <c r="B15" s="17"/>
    </row>
    <row r="16" spans="1:19">
      <c r="B16" s="17"/>
    </row>
    <row r="17" spans="1:2">
      <c r="A17" s="17"/>
      <c r="B17" s="17"/>
    </row>
    <row r="18" spans="1:2">
      <c r="A18" s="17"/>
      <c r="B18" s="17"/>
    </row>
    <row r="19" spans="1:2">
      <c r="A19" s="17"/>
      <c r="B19" s="17"/>
    </row>
    <row r="20" spans="1:2">
      <c r="A20" s="17"/>
    </row>
    <row r="24" spans="1:2">
      <c r="A24" s="17"/>
    </row>
    <row r="25" spans="1:2">
      <c r="A25" s="17"/>
      <c r="B25" s="17"/>
    </row>
    <row r="29" spans="1:2">
      <c r="A29" s="17"/>
    </row>
    <row r="30" spans="1:2">
      <c r="A30" s="17"/>
      <c r="B30" s="17"/>
    </row>
    <row r="31" spans="1:2">
      <c r="A31" s="17"/>
      <c r="B31" s="17"/>
    </row>
    <row r="32" spans="1:2">
      <c r="A32" s="17"/>
      <c r="B32" s="17"/>
    </row>
    <row r="33" spans="1:2">
      <c r="A33" s="17"/>
      <c r="B33" s="17"/>
    </row>
    <row r="34" spans="1:2">
      <c r="A34" s="17"/>
      <c r="B34" s="17"/>
    </row>
    <row r="35" spans="1:2">
      <c r="A35" s="17"/>
      <c r="B35" s="17"/>
    </row>
    <row r="36" spans="1:2">
      <c r="A36" s="17"/>
      <c r="B36" s="17"/>
    </row>
    <row r="37" spans="1:2">
      <c r="A37" s="17"/>
      <c r="B37" s="17"/>
    </row>
    <row r="38" spans="1:2">
      <c r="A38" s="17"/>
      <c r="B38" s="17"/>
    </row>
    <row r="39" spans="1:2">
      <c r="A39" s="17"/>
      <c r="B39" s="17"/>
    </row>
  </sheetData>
  <autoFilter ref="A2:I9" xr:uid="{88BB2712-99BE-4C24-89F1-166DD0C19BD8}"/>
  <phoneticPr fontId="1"/>
  <hyperlinks>
    <hyperlink ref="I6" r:id="rId1" xr:uid="{1EFC7B9B-7D07-40F9-AF8C-C99E9689A7DE}"/>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93EF3-04DC-4B81-8C29-A93438A34509}">
  <sheetPr codeName="Sheet4"/>
  <dimension ref="A1:AA41"/>
  <sheetViews>
    <sheetView workbookViewId="0">
      <pane xSplit="2" ySplit="2" topLeftCell="C17" activePane="bottomRight" state="frozen"/>
      <selection pane="topRight" activeCell="C1" sqref="C1"/>
      <selection pane="bottomLeft" activeCell="A3" sqref="A3"/>
      <selection pane="bottomRight"/>
    </sheetView>
  </sheetViews>
  <sheetFormatPr defaultRowHeight="18.75"/>
  <cols>
    <col min="1" max="1" width="28.375" bestFit="1" customWidth="1"/>
    <col min="2" max="2" width="26.875" bestFit="1" customWidth="1"/>
    <col min="3" max="3" width="11.125" bestFit="1" customWidth="1"/>
    <col min="4" max="4" width="10.125" bestFit="1" customWidth="1"/>
    <col min="5" max="5" width="33.875" customWidth="1"/>
    <col min="6" max="6" width="21.625" customWidth="1"/>
    <col min="7" max="7" width="46.5" style="3" customWidth="1"/>
    <col min="8" max="8" width="28.25" style="3" bestFit="1" customWidth="1"/>
    <col min="9" max="9" width="37.125" style="3" customWidth="1"/>
    <col min="12" max="12" width="20" bestFit="1" customWidth="1"/>
    <col min="13" max="13" width="8.25" bestFit="1" customWidth="1"/>
    <col min="14" max="14" width="17.375" bestFit="1" customWidth="1"/>
    <col min="15" max="15" width="16.875" style="155" bestFit="1" customWidth="1"/>
    <col min="16" max="16" width="20.375" bestFit="1" customWidth="1"/>
    <col min="17" max="17" width="15.875" style="155" bestFit="1" customWidth="1"/>
    <col min="18" max="18" width="19.375" bestFit="1" customWidth="1"/>
    <col min="19" max="19" width="21.625" bestFit="1" customWidth="1"/>
    <col min="20" max="20" width="23.125" bestFit="1" customWidth="1"/>
    <col min="21" max="21" width="10.125" bestFit="1" customWidth="1"/>
    <col min="22" max="22" width="9.375" bestFit="1" customWidth="1"/>
    <col min="23" max="23" width="15.875" bestFit="1" customWidth="1"/>
    <col min="24" max="24" width="11.125" bestFit="1" customWidth="1"/>
    <col min="25" max="25" width="41.375" customWidth="1"/>
    <col min="26" max="26" width="23.5" bestFit="1" customWidth="1"/>
    <col min="27" max="27" width="27.375" customWidth="1"/>
  </cols>
  <sheetData>
    <row r="1" spans="1:27">
      <c r="A1" s="6" t="s">
        <v>80</v>
      </c>
      <c r="L1" s="6" t="s">
        <v>807</v>
      </c>
    </row>
    <row r="2" spans="1:27">
      <c r="A2" s="2" t="s">
        <v>0</v>
      </c>
      <c r="B2" s="2" t="s">
        <v>1</v>
      </c>
      <c r="C2" s="2" t="s">
        <v>2</v>
      </c>
      <c r="D2" s="2" t="s">
        <v>8</v>
      </c>
      <c r="E2" s="5" t="s">
        <v>151</v>
      </c>
      <c r="F2" s="5" t="s">
        <v>63</v>
      </c>
      <c r="G2" s="5" t="s">
        <v>145</v>
      </c>
      <c r="H2" s="5" t="s">
        <v>743</v>
      </c>
      <c r="I2" s="5" t="s">
        <v>85</v>
      </c>
      <c r="L2" s="175" t="s">
        <v>70</v>
      </c>
      <c r="M2" s="175" t="s">
        <v>49</v>
      </c>
      <c r="N2" s="175" t="s">
        <v>852</v>
      </c>
      <c r="O2" s="176" t="s">
        <v>71</v>
      </c>
      <c r="P2" s="175" t="s">
        <v>72</v>
      </c>
      <c r="Q2" s="176" t="s">
        <v>73</v>
      </c>
      <c r="R2" s="175" t="s">
        <v>74</v>
      </c>
      <c r="S2" s="175" t="s">
        <v>853</v>
      </c>
      <c r="T2" s="175" t="s">
        <v>854</v>
      </c>
      <c r="U2" s="175" t="s">
        <v>75</v>
      </c>
      <c r="V2" s="175" t="s">
        <v>56</v>
      </c>
      <c r="W2" s="175" t="s">
        <v>76</v>
      </c>
      <c r="X2" s="175" t="s">
        <v>77</v>
      </c>
      <c r="Y2" s="175" t="s">
        <v>78</v>
      </c>
      <c r="Z2" s="175" t="s">
        <v>855</v>
      </c>
      <c r="AA2" s="175" t="s">
        <v>79</v>
      </c>
    </row>
    <row r="3" spans="1:27" ht="27">
      <c r="A3" s="63" t="s">
        <v>70</v>
      </c>
      <c r="B3" s="63" t="s">
        <v>3</v>
      </c>
      <c r="C3" s="63"/>
      <c r="D3" s="63" t="s">
        <v>9</v>
      </c>
      <c r="E3" s="12" t="s">
        <v>357</v>
      </c>
      <c r="F3" s="15"/>
      <c r="G3" s="12" t="s">
        <v>356</v>
      </c>
      <c r="H3" s="12"/>
      <c r="I3" s="15"/>
      <c r="J3" s="17"/>
      <c r="L3" s="177">
        <v>1</v>
      </c>
      <c r="M3" s="177">
        <v>1000003</v>
      </c>
      <c r="N3" s="177">
        <v>133424</v>
      </c>
      <c r="O3" s="178">
        <v>43966</v>
      </c>
      <c r="P3" s="179"/>
      <c r="Q3" s="178">
        <v>44316</v>
      </c>
      <c r="R3" s="179"/>
      <c r="S3" s="177">
        <v>32817</v>
      </c>
      <c r="T3" s="179"/>
      <c r="U3" s="180" t="s">
        <v>856</v>
      </c>
      <c r="V3" s="177">
        <v>6</v>
      </c>
      <c r="W3" s="179"/>
      <c r="X3" s="179"/>
      <c r="Y3" s="180" t="s">
        <v>857</v>
      </c>
      <c r="Z3" s="177">
        <v>45590920</v>
      </c>
      <c r="AA3" s="180" t="s">
        <v>858</v>
      </c>
    </row>
    <row r="4" spans="1:27" ht="37.5">
      <c r="A4" s="63" t="s">
        <v>49</v>
      </c>
      <c r="B4" s="63" t="s">
        <v>3</v>
      </c>
      <c r="C4" s="63"/>
      <c r="D4" s="63" t="s">
        <v>9</v>
      </c>
      <c r="E4" s="30" t="s">
        <v>204</v>
      </c>
      <c r="F4" s="15" t="s">
        <v>720</v>
      </c>
      <c r="G4" s="15" t="s">
        <v>359</v>
      </c>
      <c r="H4" s="15"/>
      <c r="I4" s="15"/>
      <c r="J4" s="17"/>
      <c r="L4" s="177">
        <v>2</v>
      </c>
      <c r="M4" s="177">
        <v>1000003</v>
      </c>
      <c r="N4" s="177">
        <v>433740</v>
      </c>
      <c r="O4" s="178">
        <v>43971</v>
      </c>
      <c r="P4" s="179"/>
      <c r="Q4" s="178">
        <v>44347</v>
      </c>
      <c r="R4" s="179"/>
      <c r="S4" s="177">
        <v>32817</v>
      </c>
      <c r="T4" s="179"/>
      <c r="U4" s="180" t="s">
        <v>859</v>
      </c>
      <c r="V4" s="177">
        <v>12</v>
      </c>
      <c r="W4" s="179"/>
      <c r="X4" s="179"/>
      <c r="Y4" s="180" t="s">
        <v>860</v>
      </c>
      <c r="Z4" s="177">
        <v>45537940</v>
      </c>
      <c r="AA4" s="180" t="s">
        <v>861</v>
      </c>
    </row>
    <row r="5" spans="1:27" ht="187.5">
      <c r="A5" s="63" t="s">
        <v>312</v>
      </c>
      <c r="B5" s="63" t="s">
        <v>3</v>
      </c>
      <c r="C5" s="63"/>
      <c r="D5" s="63" t="s">
        <v>9</v>
      </c>
      <c r="E5" s="29" t="s">
        <v>204</v>
      </c>
      <c r="F5" s="15" t="s">
        <v>152</v>
      </c>
      <c r="G5" s="15" t="s">
        <v>1875</v>
      </c>
      <c r="H5" s="120" t="s">
        <v>1877</v>
      </c>
      <c r="I5" s="16" t="s">
        <v>81</v>
      </c>
      <c r="J5" s="18"/>
      <c r="L5" s="177">
        <v>3</v>
      </c>
      <c r="M5" s="177">
        <v>1000003</v>
      </c>
      <c r="N5" s="177">
        <v>441800</v>
      </c>
      <c r="O5" s="178">
        <v>44004</v>
      </c>
      <c r="P5" s="179"/>
      <c r="Q5" s="178">
        <v>45138</v>
      </c>
      <c r="R5" s="179"/>
      <c r="S5" s="177">
        <v>32817</v>
      </c>
      <c r="T5" s="179"/>
      <c r="U5" s="180" t="s">
        <v>856</v>
      </c>
      <c r="V5" s="177">
        <v>2</v>
      </c>
      <c r="W5" s="179"/>
      <c r="X5" s="179"/>
      <c r="Y5" s="180" t="s">
        <v>862</v>
      </c>
      <c r="Z5" s="177">
        <v>45552246</v>
      </c>
      <c r="AA5" s="180" t="s">
        <v>863</v>
      </c>
    </row>
    <row r="6" spans="1:27" ht="37.5">
      <c r="A6" s="63" t="s">
        <v>71</v>
      </c>
      <c r="B6" s="63" t="s">
        <v>5</v>
      </c>
      <c r="C6" s="63"/>
      <c r="D6" s="63" t="s">
        <v>9</v>
      </c>
      <c r="E6" s="12" t="s">
        <v>148</v>
      </c>
      <c r="F6" s="15" t="s">
        <v>375</v>
      </c>
      <c r="G6" s="15" t="s">
        <v>370</v>
      </c>
      <c r="H6" s="15"/>
      <c r="I6" s="15"/>
      <c r="J6" s="17"/>
      <c r="L6" s="177">
        <v>4</v>
      </c>
      <c r="M6" s="177">
        <v>1000003</v>
      </c>
      <c r="N6" s="177">
        <v>195596</v>
      </c>
      <c r="O6" s="178">
        <v>44022</v>
      </c>
      <c r="P6" s="179"/>
      <c r="Q6" s="178">
        <v>44316</v>
      </c>
      <c r="R6" s="179"/>
      <c r="S6" s="177">
        <v>32817</v>
      </c>
      <c r="T6" s="179"/>
      <c r="U6" s="180" t="s">
        <v>856</v>
      </c>
      <c r="V6" s="177">
        <v>14</v>
      </c>
      <c r="W6" s="179"/>
      <c r="X6" s="179"/>
      <c r="Y6" s="180" t="s">
        <v>864</v>
      </c>
      <c r="Z6" s="177">
        <v>45586743</v>
      </c>
      <c r="AA6" s="180" t="s">
        <v>858</v>
      </c>
    </row>
    <row r="7" spans="1:27">
      <c r="A7" s="61" t="s">
        <v>72</v>
      </c>
      <c r="B7" s="61" t="s">
        <v>6</v>
      </c>
      <c r="C7" s="61"/>
      <c r="D7" s="61" t="s">
        <v>10</v>
      </c>
      <c r="E7" s="61"/>
      <c r="F7" s="61"/>
      <c r="G7" s="62" t="s">
        <v>68</v>
      </c>
      <c r="H7" s="62"/>
      <c r="I7" s="62"/>
      <c r="J7" s="17"/>
      <c r="L7" s="177">
        <v>5</v>
      </c>
      <c r="M7" s="177">
        <v>1000003</v>
      </c>
      <c r="N7" s="177">
        <v>201965</v>
      </c>
      <c r="O7" s="178">
        <v>44041</v>
      </c>
      <c r="P7" s="179"/>
      <c r="Q7" s="178">
        <v>44500</v>
      </c>
      <c r="R7" s="179"/>
      <c r="S7" s="177">
        <v>32817</v>
      </c>
      <c r="T7" s="179"/>
      <c r="U7" s="180" t="s">
        <v>865</v>
      </c>
      <c r="V7" s="177">
        <v>9</v>
      </c>
      <c r="W7" s="179"/>
      <c r="X7" s="179"/>
      <c r="Y7" s="180" t="s">
        <v>866</v>
      </c>
      <c r="Z7" s="177">
        <v>45587521</v>
      </c>
      <c r="AA7" s="180" t="s">
        <v>867</v>
      </c>
    </row>
    <row r="8" spans="1:27" ht="56.25">
      <c r="A8" s="12" t="s">
        <v>73</v>
      </c>
      <c r="B8" s="12" t="s">
        <v>5</v>
      </c>
      <c r="C8" s="12"/>
      <c r="D8" s="12" t="s">
        <v>10</v>
      </c>
      <c r="E8" s="12" t="s">
        <v>148</v>
      </c>
      <c r="F8" s="15" t="s">
        <v>1861</v>
      </c>
      <c r="G8" s="15" t="s">
        <v>1862</v>
      </c>
      <c r="H8" s="15"/>
      <c r="I8" s="15"/>
      <c r="J8" s="17"/>
      <c r="L8" s="177">
        <v>6</v>
      </c>
      <c r="M8" s="177">
        <v>1000003</v>
      </c>
      <c r="N8" s="177">
        <v>440417</v>
      </c>
      <c r="O8" s="178">
        <v>44077</v>
      </c>
      <c r="P8" s="179"/>
      <c r="Q8" s="178">
        <v>44196</v>
      </c>
      <c r="R8" s="179"/>
      <c r="S8" s="177">
        <v>32817</v>
      </c>
      <c r="T8" s="179"/>
      <c r="U8" s="180" t="s">
        <v>868</v>
      </c>
      <c r="V8" s="177">
        <v>16</v>
      </c>
      <c r="W8" s="179"/>
      <c r="X8" s="179"/>
      <c r="Y8" s="180" t="s">
        <v>869</v>
      </c>
      <c r="Z8" s="177">
        <v>45552785</v>
      </c>
      <c r="AA8" s="180" t="s">
        <v>858</v>
      </c>
    </row>
    <row r="9" spans="1:27">
      <c r="A9" s="61" t="s">
        <v>74</v>
      </c>
      <c r="B9" s="61" t="s">
        <v>6</v>
      </c>
      <c r="C9" s="61"/>
      <c r="D9" s="61" t="s">
        <v>10</v>
      </c>
      <c r="E9" s="61"/>
      <c r="F9" s="61"/>
      <c r="G9" s="62" t="s">
        <v>68</v>
      </c>
      <c r="H9" s="62"/>
      <c r="I9" s="62"/>
      <c r="J9" s="17"/>
      <c r="L9" s="177">
        <v>7</v>
      </c>
      <c r="M9" s="177">
        <v>1000003</v>
      </c>
      <c r="N9" s="177">
        <v>257007</v>
      </c>
      <c r="O9" s="178">
        <v>44187</v>
      </c>
      <c r="P9" s="179"/>
      <c r="Q9" s="178">
        <v>44408</v>
      </c>
      <c r="R9" s="179"/>
      <c r="S9" s="177">
        <v>32817</v>
      </c>
      <c r="T9" s="179"/>
      <c r="U9" s="180" t="s">
        <v>870</v>
      </c>
      <c r="V9" s="177">
        <v>9</v>
      </c>
      <c r="W9" s="179"/>
      <c r="X9" s="179"/>
      <c r="Y9" s="180" t="s">
        <v>871</v>
      </c>
      <c r="Z9" s="177">
        <v>45548110</v>
      </c>
      <c r="AA9" s="180" t="s">
        <v>867</v>
      </c>
    </row>
    <row r="10" spans="1:27" ht="111.95" customHeight="1">
      <c r="A10" s="63" t="s">
        <v>313</v>
      </c>
      <c r="B10" s="63" t="s">
        <v>3</v>
      </c>
      <c r="C10" s="63"/>
      <c r="D10" s="63" t="s">
        <v>9</v>
      </c>
      <c r="E10" s="32" t="s">
        <v>150</v>
      </c>
      <c r="F10" s="12"/>
      <c r="G10" s="15" t="s">
        <v>365</v>
      </c>
      <c r="H10" s="15"/>
      <c r="I10" s="16" t="s">
        <v>83</v>
      </c>
      <c r="J10" s="17"/>
      <c r="L10" s="177">
        <v>8</v>
      </c>
      <c r="M10" s="177">
        <v>1000003</v>
      </c>
      <c r="N10" s="177">
        <v>134441</v>
      </c>
      <c r="O10" s="178">
        <v>44298</v>
      </c>
      <c r="P10" s="179"/>
      <c r="Q10" s="178">
        <v>45138</v>
      </c>
      <c r="R10" s="179"/>
      <c r="S10" s="177">
        <v>32817</v>
      </c>
      <c r="T10" s="179"/>
      <c r="U10" s="180" t="s">
        <v>868</v>
      </c>
      <c r="V10" s="177">
        <v>11</v>
      </c>
      <c r="W10" s="179"/>
      <c r="X10" s="179"/>
      <c r="Y10" s="180" t="s">
        <v>872</v>
      </c>
      <c r="Z10" s="177">
        <v>45533667</v>
      </c>
      <c r="AA10" s="180" t="s">
        <v>867</v>
      </c>
    </row>
    <row r="11" spans="1:27" ht="75">
      <c r="A11" s="12" t="s">
        <v>84</v>
      </c>
      <c r="B11" s="12" t="s">
        <v>201</v>
      </c>
      <c r="C11" s="12"/>
      <c r="D11" s="12" t="s">
        <v>10</v>
      </c>
      <c r="E11" s="30" t="s">
        <v>204</v>
      </c>
      <c r="F11" s="15" t="s">
        <v>371</v>
      </c>
      <c r="G11" s="15" t="s">
        <v>372</v>
      </c>
      <c r="H11" s="120" t="s">
        <v>745</v>
      </c>
      <c r="I11" s="16" t="s">
        <v>82</v>
      </c>
      <c r="J11" s="18"/>
      <c r="L11" s="177">
        <v>9</v>
      </c>
      <c r="M11" s="177">
        <v>1000003</v>
      </c>
      <c r="N11" s="177">
        <v>4311499</v>
      </c>
      <c r="O11" s="178">
        <v>44361</v>
      </c>
      <c r="P11" s="179"/>
      <c r="Q11" s="178">
        <v>44347</v>
      </c>
      <c r="R11" s="179"/>
      <c r="S11" s="177">
        <v>32817</v>
      </c>
      <c r="T11" s="179"/>
      <c r="U11" s="180" t="s">
        <v>868</v>
      </c>
      <c r="V11" s="179"/>
      <c r="W11" s="179"/>
      <c r="X11" s="179"/>
      <c r="Y11" s="180" t="s">
        <v>873</v>
      </c>
      <c r="Z11" s="177">
        <v>45542592</v>
      </c>
      <c r="AA11" s="180" t="s">
        <v>863</v>
      </c>
    </row>
    <row r="12" spans="1:27" ht="56.25">
      <c r="A12" s="12" t="s">
        <v>75</v>
      </c>
      <c r="B12" s="12" t="s">
        <v>4</v>
      </c>
      <c r="C12" s="12">
        <v>20</v>
      </c>
      <c r="D12" s="12" t="s">
        <v>10</v>
      </c>
      <c r="E12" s="12" t="s">
        <v>148</v>
      </c>
      <c r="F12" s="15" t="s">
        <v>369</v>
      </c>
      <c r="G12" s="15" t="s">
        <v>1863</v>
      </c>
      <c r="H12" s="15"/>
      <c r="I12" s="15"/>
      <c r="J12" s="17"/>
      <c r="L12" s="177">
        <v>10</v>
      </c>
      <c r="M12" s="177">
        <v>1000003</v>
      </c>
      <c r="N12" s="177">
        <v>40492458</v>
      </c>
      <c r="O12" s="178">
        <v>44432</v>
      </c>
      <c r="P12" s="179"/>
      <c r="Q12" s="181"/>
      <c r="R12" s="179"/>
      <c r="S12" s="177">
        <v>32817</v>
      </c>
      <c r="T12" s="179"/>
      <c r="U12" s="180" t="s">
        <v>865</v>
      </c>
      <c r="V12" s="177">
        <v>13</v>
      </c>
      <c r="W12" s="179"/>
      <c r="X12" s="179"/>
      <c r="Y12" s="180" t="s">
        <v>874</v>
      </c>
      <c r="Z12" s="177">
        <v>45552349</v>
      </c>
      <c r="AA12" s="180" t="s">
        <v>861</v>
      </c>
    </row>
    <row r="13" spans="1:27" ht="37.5">
      <c r="A13" s="12" t="s">
        <v>56</v>
      </c>
      <c r="B13" s="12" t="s">
        <v>3</v>
      </c>
      <c r="C13" s="12"/>
      <c r="D13" s="12" t="s">
        <v>10</v>
      </c>
      <c r="E13" s="30" t="s">
        <v>204</v>
      </c>
      <c r="F13" s="15" t="s">
        <v>382</v>
      </c>
      <c r="G13" s="15" t="s">
        <v>341</v>
      </c>
      <c r="H13" s="15"/>
      <c r="I13" s="15"/>
      <c r="J13" s="17"/>
      <c r="L13" s="177">
        <v>11</v>
      </c>
      <c r="M13" s="177">
        <v>1000003</v>
      </c>
      <c r="N13" s="177">
        <v>436093</v>
      </c>
      <c r="O13" s="178">
        <v>44657</v>
      </c>
      <c r="P13" s="179"/>
      <c r="Q13" s="178">
        <v>44957</v>
      </c>
      <c r="R13" s="179"/>
      <c r="S13" s="177">
        <v>32817</v>
      </c>
      <c r="T13" s="179"/>
      <c r="U13" s="180" t="s">
        <v>859</v>
      </c>
      <c r="V13" s="177">
        <v>1</v>
      </c>
      <c r="W13" s="179"/>
      <c r="X13" s="179"/>
      <c r="Y13" s="180" t="s">
        <v>875</v>
      </c>
      <c r="Z13" s="177">
        <v>45547609</v>
      </c>
      <c r="AA13" s="180" t="s">
        <v>863</v>
      </c>
    </row>
    <row r="14" spans="1:27">
      <c r="A14" s="61" t="s">
        <v>76</v>
      </c>
      <c r="B14" s="61" t="s">
        <v>3</v>
      </c>
      <c r="C14" s="61"/>
      <c r="D14" s="61" t="s">
        <v>10</v>
      </c>
      <c r="E14" s="61"/>
      <c r="F14" s="61"/>
      <c r="G14" s="62" t="s">
        <v>68</v>
      </c>
      <c r="H14" s="62"/>
      <c r="I14" s="62"/>
      <c r="J14" s="17"/>
      <c r="L14" s="177">
        <v>12</v>
      </c>
      <c r="M14" s="177">
        <v>1000003</v>
      </c>
      <c r="N14" s="177">
        <v>37018293</v>
      </c>
      <c r="O14" s="178">
        <v>44923</v>
      </c>
      <c r="P14" s="179"/>
      <c r="Q14" s="181"/>
      <c r="R14" s="179"/>
      <c r="S14" s="177">
        <v>32817</v>
      </c>
      <c r="T14" s="179"/>
      <c r="U14" s="180" t="s">
        <v>865</v>
      </c>
      <c r="V14" s="177">
        <v>6</v>
      </c>
      <c r="W14" s="179"/>
      <c r="X14" s="179"/>
      <c r="Y14" s="180" t="s">
        <v>876</v>
      </c>
      <c r="Z14" s="177">
        <v>45533575</v>
      </c>
      <c r="AA14" s="180" t="s">
        <v>863</v>
      </c>
    </row>
    <row r="15" spans="1:27">
      <c r="A15" s="61" t="s">
        <v>77</v>
      </c>
      <c r="B15" s="61" t="s">
        <v>3</v>
      </c>
      <c r="C15" s="61"/>
      <c r="D15" s="61" t="s">
        <v>10</v>
      </c>
      <c r="E15" s="61"/>
      <c r="F15" s="61"/>
      <c r="G15" s="62" t="s">
        <v>68</v>
      </c>
      <c r="H15" s="62"/>
      <c r="I15" s="62"/>
      <c r="J15" s="17"/>
      <c r="L15" s="177">
        <v>13</v>
      </c>
      <c r="M15" s="177">
        <v>1000003</v>
      </c>
      <c r="N15" s="177">
        <v>434613</v>
      </c>
      <c r="O15" s="178">
        <v>44984</v>
      </c>
      <c r="P15" s="179"/>
      <c r="Q15" s="178">
        <v>44408</v>
      </c>
      <c r="R15" s="179"/>
      <c r="S15" s="177">
        <v>32817</v>
      </c>
      <c r="T15" s="179"/>
      <c r="U15" s="180" t="s">
        <v>865</v>
      </c>
      <c r="V15" s="177">
        <v>10</v>
      </c>
      <c r="W15" s="179"/>
      <c r="X15" s="179"/>
      <c r="Y15" s="180" t="s">
        <v>877</v>
      </c>
      <c r="Z15" s="177">
        <v>45571764</v>
      </c>
      <c r="AA15" s="180" t="s">
        <v>867</v>
      </c>
    </row>
    <row r="16" spans="1:27" ht="75">
      <c r="A16" s="12" t="s">
        <v>78</v>
      </c>
      <c r="B16" s="12" t="s">
        <v>4</v>
      </c>
      <c r="C16" s="12">
        <v>50</v>
      </c>
      <c r="D16" s="12" t="s">
        <v>10</v>
      </c>
      <c r="E16" s="12" t="s">
        <v>148</v>
      </c>
      <c r="F16" s="15" t="s">
        <v>373</v>
      </c>
      <c r="G16" s="15" t="s">
        <v>1874</v>
      </c>
      <c r="H16" s="15"/>
      <c r="I16" s="15"/>
      <c r="J16" s="17"/>
      <c r="L16" s="177">
        <v>14</v>
      </c>
      <c r="M16" s="177">
        <v>1000003</v>
      </c>
      <c r="N16" s="177">
        <v>436658</v>
      </c>
      <c r="O16" s="178">
        <v>45112</v>
      </c>
      <c r="P16" s="179"/>
      <c r="Q16" s="178">
        <v>45138</v>
      </c>
      <c r="R16" s="179"/>
      <c r="S16" s="177">
        <v>32817</v>
      </c>
      <c r="T16" s="179"/>
      <c r="U16" s="180" t="s">
        <v>870</v>
      </c>
      <c r="V16" s="177">
        <v>5</v>
      </c>
      <c r="W16" s="179"/>
      <c r="X16" s="179"/>
      <c r="Y16" s="180" t="s">
        <v>878</v>
      </c>
      <c r="Z16" s="177">
        <v>45571678</v>
      </c>
      <c r="AA16" s="180" t="s">
        <v>867</v>
      </c>
    </row>
    <row r="17" spans="1:27" ht="168.75">
      <c r="A17" s="12" t="s">
        <v>314</v>
      </c>
      <c r="B17" s="12" t="s">
        <v>3</v>
      </c>
      <c r="C17" s="12"/>
      <c r="D17" s="12" t="s">
        <v>10</v>
      </c>
      <c r="E17" s="30" t="s">
        <v>204</v>
      </c>
      <c r="F17" s="15" t="s">
        <v>152</v>
      </c>
      <c r="G17" s="15" t="s">
        <v>1873</v>
      </c>
      <c r="H17" s="120" t="s">
        <v>1877</v>
      </c>
      <c r="I17" s="16" t="s">
        <v>1871</v>
      </c>
      <c r="J17" s="18"/>
      <c r="L17" s="177">
        <v>15</v>
      </c>
      <c r="M17" s="177">
        <v>1000003</v>
      </c>
      <c r="N17" s="177">
        <v>259748</v>
      </c>
      <c r="O17" s="178">
        <v>45306</v>
      </c>
      <c r="P17" s="179"/>
      <c r="Q17" s="178">
        <v>2958465</v>
      </c>
      <c r="R17" s="179"/>
      <c r="S17" s="177">
        <v>32817</v>
      </c>
      <c r="T17" s="179"/>
      <c r="U17" s="180" t="s">
        <v>865</v>
      </c>
      <c r="V17" s="177">
        <v>2</v>
      </c>
      <c r="W17" s="179"/>
      <c r="X17" s="179"/>
      <c r="Y17" s="180" t="s">
        <v>879</v>
      </c>
      <c r="Z17" s="177">
        <v>45595641</v>
      </c>
      <c r="AA17" s="180" t="s">
        <v>863</v>
      </c>
    </row>
    <row r="18" spans="1:27" ht="37.5">
      <c r="A18" s="12" t="s">
        <v>79</v>
      </c>
      <c r="B18" s="12" t="s">
        <v>4</v>
      </c>
      <c r="C18" s="12">
        <v>50</v>
      </c>
      <c r="D18" s="12" t="s">
        <v>10</v>
      </c>
      <c r="E18" s="12" t="s">
        <v>148</v>
      </c>
      <c r="F18" s="15" t="s">
        <v>153</v>
      </c>
      <c r="G18" s="15" t="s">
        <v>374</v>
      </c>
      <c r="H18" s="15"/>
      <c r="I18" s="15"/>
      <c r="J18" s="21"/>
      <c r="L18" s="177">
        <v>16</v>
      </c>
      <c r="M18" s="177">
        <v>1000003</v>
      </c>
      <c r="N18" s="177">
        <v>260336</v>
      </c>
      <c r="O18" s="178">
        <v>45331</v>
      </c>
      <c r="P18" s="179"/>
      <c r="Q18" s="178">
        <v>45138</v>
      </c>
      <c r="R18" s="179"/>
      <c r="S18" s="177">
        <v>32817</v>
      </c>
      <c r="T18" s="179"/>
      <c r="U18" s="180" t="s">
        <v>865</v>
      </c>
      <c r="V18" s="177">
        <v>8</v>
      </c>
      <c r="W18" s="179"/>
      <c r="X18" s="179"/>
      <c r="Y18" s="180" t="s">
        <v>880</v>
      </c>
      <c r="Z18" s="177">
        <v>45600487</v>
      </c>
      <c r="AA18" s="180" t="s">
        <v>867</v>
      </c>
    </row>
    <row r="19" spans="1:27">
      <c r="L19" s="177">
        <v>17</v>
      </c>
      <c r="M19" s="177">
        <v>1000003</v>
      </c>
      <c r="N19" s="177">
        <v>438699</v>
      </c>
      <c r="O19" s="178">
        <v>45371</v>
      </c>
      <c r="P19" s="179"/>
      <c r="Q19" s="178">
        <v>44408</v>
      </c>
      <c r="R19" s="179"/>
      <c r="S19" s="177">
        <v>32817</v>
      </c>
      <c r="T19" s="179"/>
      <c r="U19" s="180" t="s">
        <v>865</v>
      </c>
      <c r="V19" s="177">
        <v>7</v>
      </c>
      <c r="W19" s="179"/>
      <c r="X19" s="179"/>
      <c r="Y19" s="180" t="s">
        <v>881</v>
      </c>
      <c r="Z19" s="177">
        <v>45561791</v>
      </c>
      <c r="AA19" s="180" t="s">
        <v>858</v>
      </c>
    </row>
    <row r="20" spans="1:27" ht="27">
      <c r="A20" s="250" t="s">
        <v>1806</v>
      </c>
      <c r="L20" s="177">
        <v>18</v>
      </c>
      <c r="M20" s="177">
        <v>1000004</v>
      </c>
      <c r="N20" s="177">
        <v>198402</v>
      </c>
      <c r="O20" s="178">
        <v>43986</v>
      </c>
      <c r="P20" s="179"/>
      <c r="Q20" s="178">
        <v>44500</v>
      </c>
      <c r="R20" s="179"/>
      <c r="S20" s="177">
        <v>32817</v>
      </c>
      <c r="T20" s="179"/>
      <c r="U20" s="180" t="s">
        <v>856</v>
      </c>
      <c r="V20" s="177">
        <v>11</v>
      </c>
      <c r="W20" s="179"/>
      <c r="X20" s="179"/>
      <c r="Y20" s="180" t="s">
        <v>882</v>
      </c>
      <c r="Z20" s="177">
        <v>45581311</v>
      </c>
      <c r="AA20" s="180" t="s">
        <v>863</v>
      </c>
    </row>
    <row r="21" spans="1:27">
      <c r="A21" s="250" t="s">
        <v>1805</v>
      </c>
      <c r="L21" s="177">
        <v>19</v>
      </c>
      <c r="M21" s="177">
        <v>1000004</v>
      </c>
      <c r="N21" s="177">
        <v>25297</v>
      </c>
      <c r="O21" s="178">
        <v>44265</v>
      </c>
      <c r="P21" s="179"/>
      <c r="Q21" s="181"/>
      <c r="R21" s="179"/>
      <c r="S21" s="177">
        <v>32817</v>
      </c>
      <c r="T21" s="179"/>
      <c r="U21" s="180" t="s">
        <v>870</v>
      </c>
      <c r="V21" s="177">
        <v>7</v>
      </c>
      <c r="W21" s="179"/>
      <c r="X21" s="179"/>
      <c r="Y21" s="180" t="s">
        <v>883</v>
      </c>
      <c r="Z21" s="177">
        <v>45538472</v>
      </c>
      <c r="AA21" s="180" t="s">
        <v>861</v>
      </c>
    </row>
    <row r="22" spans="1:27">
      <c r="A22" s="250" t="s">
        <v>1807</v>
      </c>
      <c r="L22" s="177">
        <v>20</v>
      </c>
      <c r="M22" s="177">
        <v>1000004</v>
      </c>
      <c r="N22" s="177">
        <v>72578</v>
      </c>
      <c r="O22" s="178">
        <v>44277</v>
      </c>
      <c r="P22" s="179"/>
      <c r="Q22" s="178">
        <v>45138</v>
      </c>
      <c r="R22" s="179"/>
      <c r="S22" s="177">
        <v>32817</v>
      </c>
      <c r="T22" s="179"/>
      <c r="U22" s="180" t="s">
        <v>865</v>
      </c>
      <c r="V22" s="177">
        <v>4</v>
      </c>
      <c r="W22" s="179"/>
      <c r="X22" s="179"/>
      <c r="Y22" s="180" t="s">
        <v>884</v>
      </c>
      <c r="Z22" s="177">
        <v>45605370</v>
      </c>
      <c r="AA22" s="180" t="s">
        <v>861</v>
      </c>
    </row>
    <row r="23" spans="1:27">
      <c r="A23" s="250"/>
    </row>
    <row r="24" spans="1:27">
      <c r="A24" s="250"/>
    </row>
    <row r="25" spans="1:27">
      <c r="A25" s="17"/>
    </row>
    <row r="26" spans="1:27">
      <c r="A26" s="17"/>
    </row>
    <row r="27" spans="1:27">
      <c r="A27" s="17"/>
    </row>
    <row r="28" spans="1:27">
      <c r="A28" s="17"/>
    </row>
    <row r="29" spans="1:27">
      <c r="A29" s="17"/>
    </row>
    <row r="30" spans="1:27">
      <c r="A30" s="18"/>
    </row>
    <row r="31" spans="1:27">
      <c r="A31" s="17"/>
    </row>
    <row r="32" spans="1:27">
      <c r="A32" s="17"/>
    </row>
    <row r="33" spans="1:1">
      <c r="A33" s="17"/>
    </row>
    <row r="34" spans="1:1">
      <c r="A34" s="17"/>
    </row>
    <row r="35" spans="1:1">
      <c r="A35" s="17"/>
    </row>
    <row r="36" spans="1:1">
      <c r="A36" s="18"/>
    </row>
    <row r="37" spans="1:1">
      <c r="A37" s="21"/>
    </row>
    <row r="38" spans="1:1">
      <c r="A38" s="17"/>
    </row>
    <row r="39" spans="1:1">
      <c r="A39" s="17"/>
    </row>
    <row r="40" spans="1:1">
      <c r="A40" s="17"/>
    </row>
    <row r="41" spans="1:1">
      <c r="A41" s="17"/>
    </row>
  </sheetData>
  <autoFilter ref="A2:I18" xr:uid="{ED793EF3-04DC-4B81-8C29-A93438A34509}"/>
  <phoneticPr fontId="1"/>
  <hyperlinks>
    <hyperlink ref="I5" r:id="rId1" xr:uid="{65637001-733B-4CEC-8F2E-39CC2723D001}"/>
    <hyperlink ref="I11" r:id="rId2" xr:uid="{B6A0A0A0-AF21-4B7D-A42C-B114F6B19406}"/>
    <hyperlink ref="I10" r:id="rId3" display="https://github.com/OHDSI/Vocabulary-v5.0/wiki/Vocab.-TYPE_CONCEPT" xr:uid="{DEB1ACF8-EA6F-4CA4-8746-9AB187ED7A3D}"/>
    <hyperlink ref="I17" r:id="rId4" xr:uid="{7C785AF8-0603-47A0-90F3-7F29A6765BC9}"/>
  </hyperlinks>
  <pageMargins left="0.7" right="0.7" top="0.75" bottom="0.75" header="0.3" footer="0.3"/>
  <pageSetup paperSize="9" orientation="portrait" r:id="rId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E8B5A-C22A-4E7C-9B09-13C21A0501B2}">
  <sheetPr codeName="Sheet10"/>
  <dimension ref="A1:AH102"/>
  <sheetViews>
    <sheetView zoomScaleNormal="100" workbookViewId="0">
      <pane xSplit="2" ySplit="2" topLeftCell="C23" activePane="bottomRight" state="frozen"/>
      <selection pane="topRight" activeCell="C1" sqref="C1"/>
      <selection pane="bottomLeft" activeCell="A3" sqref="A3"/>
      <selection pane="bottomRight"/>
    </sheetView>
  </sheetViews>
  <sheetFormatPr defaultRowHeight="18.75"/>
  <cols>
    <col min="1" max="1" width="29.375" bestFit="1" customWidth="1"/>
    <col min="2" max="2" width="28.125" bestFit="1" customWidth="1"/>
    <col min="3" max="3" width="11.625" bestFit="1" customWidth="1"/>
    <col min="4" max="4" width="10.625" bestFit="1" customWidth="1"/>
    <col min="5" max="5" width="13.625" customWidth="1"/>
    <col min="6" max="6" width="33.75" customWidth="1"/>
    <col min="7" max="7" width="32.875" customWidth="1"/>
    <col min="8" max="8" width="28.625" bestFit="1" customWidth="1"/>
    <col min="9" max="9" width="28.5" customWidth="1"/>
    <col min="12" max="12" width="16.625" bestFit="1" customWidth="1"/>
    <col min="13" max="13" width="9.375" bestFit="1" customWidth="1"/>
    <col min="14" max="14" width="15.5" bestFit="1" customWidth="1"/>
    <col min="15" max="15" width="24.125" bestFit="1" customWidth="1"/>
    <col min="16" max="16" width="28.125" bestFit="1" customWidth="1"/>
    <col min="17" max="17" width="23.25" bestFit="1" customWidth="1"/>
    <col min="18" max="18" width="27.25" bestFit="1" customWidth="1"/>
    <col min="19" max="19" width="17.875" bestFit="1" customWidth="1"/>
    <col min="20" max="20" width="20.375" bestFit="1" customWidth="1"/>
    <col min="21" max="21" width="11.5" bestFit="1" customWidth="1"/>
    <col min="22" max="22" width="5.875" bestFit="1" customWidth="1"/>
    <col min="23" max="23" width="12.375" bestFit="1" customWidth="1"/>
    <col min="24" max="24" width="11.75" bestFit="1" customWidth="1"/>
    <col min="25" max="25" width="98.875" style="3" customWidth="1"/>
    <col min="26" max="26" width="16.125" bestFit="1" customWidth="1"/>
    <col min="27" max="27" width="10.875" bestFit="1" customWidth="1"/>
    <col min="28" max="28" width="10.625" bestFit="1" customWidth="1"/>
    <col min="29" max="29" width="17.875" bestFit="1" customWidth="1"/>
    <col min="30" max="30" width="13.125" bestFit="1" customWidth="1"/>
    <col min="31" max="31" width="92.125" bestFit="1" customWidth="1"/>
    <col min="32" max="32" width="22.375" bestFit="1" customWidth="1"/>
    <col min="33" max="33" width="33.5" bestFit="1" customWidth="1"/>
    <col min="34" max="34" width="22.125" bestFit="1" customWidth="1"/>
  </cols>
  <sheetData>
    <row r="1" spans="1:34">
      <c r="A1" s="6" t="s">
        <v>117</v>
      </c>
      <c r="L1" s="6" t="s">
        <v>807</v>
      </c>
    </row>
    <row r="2" spans="1:34">
      <c r="A2" s="5" t="s">
        <v>0</v>
      </c>
      <c r="B2" s="5" t="s">
        <v>1</v>
      </c>
      <c r="C2" s="5" t="s">
        <v>2</v>
      </c>
      <c r="D2" s="5" t="s">
        <v>8</v>
      </c>
      <c r="E2" s="5" t="s">
        <v>151</v>
      </c>
      <c r="F2" s="5" t="s">
        <v>63</v>
      </c>
      <c r="G2" s="5" t="s">
        <v>145</v>
      </c>
      <c r="H2" s="5" t="s">
        <v>743</v>
      </c>
      <c r="I2" s="5" t="s">
        <v>85</v>
      </c>
      <c r="L2" s="61" t="s">
        <v>100</v>
      </c>
      <c r="M2" s="61" t="s">
        <v>49</v>
      </c>
      <c r="N2" s="61" t="s">
        <v>885</v>
      </c>
      <c r="O2" s="61" t="s">
        <v>101</v>
      </c>
      <c r="P2" s="61" t="s">
        <v>102</v>
      </c>
      <c r="Q2" s="61" t="s">
        <v>103</v>
      </c>
      <c r="R2" s="61" t="s">
        <v>104</v>
      </c>
      <c r="S2" s="61" t="s">
        <v>105</v>
      </c>
      <c r="T2" s="61" t="s">
        <v>106</v>
      </c>
      <c r="U2" s="61" t="s">
        <v>75</v>
      </c>
      <c r="V2" s="61" t="s">
        <v>107</v>
      </c>
      <c r="W2" s="61" t="s">
        <v>87</v>
      </c>
      <c r="X2" s="61" t="s">
        <v>108</v>
      </c>
      <c r="Y2" s="62" t="s">
        <v>109</v>
      </c>
      <c r="Z2" s="61" t="s">
        <v>111</v>
      </c>
      <c r="AA2" s="61" t="s">
        <v>112</v>
      </c>
      <c r="AB2" s="61" t="s">
        <v>56</v>
      </c>
      <c r="AC2" s="61" t="s">
        <v>76</v>
      </c>
      <c r="AD2" s="61" t="s">
        <v>77</v>
      </c>
      <c r="AE2" s="61" t="s">
        <v>113</v>
      </c>
      <c r="AF2" s="61" t="s">
        <v>114</v>
      </c>
      <c r="AG2" s="61" t="s">
        <v>115</v>
      </c>
      <c r="AH2" s="61" t="s">
        <v>116</v>
      </c>
    </row>
    <row r="3" spans="1:34">
      <c r="A3" s="29" t="s">
        <v>100</v>
      </c>
      <c r="B3" s="29" t="s">
        <v>3</v>
      </c>
      <c r="C3" s="29"/>
      <c r="D3" s="29" t="s">
        <v>9</v>
      </c>
      <c r="E3" s="12" t="s">
        <v>357</v>
      </c>
      <c r="F3" s="15"/>
      <c r="G3" s="12" t="s">
        <v>356</v>
      </c>
      <c r="H3" s="12"/>
      <c r="I3" s="15"/>
      <c r="J3" s="17"/>
      <c r="L3" s="1">
        <v>1</v>
      </c>
      <c r="M3" s="1">
        <v>1000001</v>
      </c>
      <c r="N3" s="1">
        <v>43779304</v>
      </c>
      <c r="O3" s="144">
        <v>44048</v>
      </c>
      <c r="P3" s="145">
        <v>44824.664583333331</v>
      </c>
      <c r="Q3" s="144">
        <v>44896</v>
      </c>
      <c r="R3" s="145">
        <v>44165.676388888889</v>
      </c>
      <c r="S3" s="1"/>
      <c r="T3" s="1">
        <v>32817</v>
      </c>
      <c r="U3" s="1"/>
      <c r="V3" s="1"/>
      <c r="W3" s="1">
        <v>0.89999997615814198</v>
      </c>
      <c r="X3" s="1"/>
      <c r="Y3" s="4" t="s">
        <v>886</v>
      </c>
      <c r="Z3" s="1"/>
      <c r="AA3" s="1"/>
      <c r="AB3" s="1">
        <v>12</v>
      </c>
      <c r="AC3" s="1"/>
      <c r="AD3" s="1"/>
      <c r="AE3" s="1" t="s">
        <v>887</v>
      </c>
      <c r="AF3" s="1">
        <v>2020004659</v>
      </c>
      <c r="AG3" s="1" t="s">
        <v>888</v>
      </c>
      <c r="AH3" s="1" t="s">
        <v>889</v>
      </c>
    </row>
    <row r="4" spans="1:34" ht="37.5">
      <c r="A4" s="29" t="s">
        <v>49</v>
      </c>
      <c r="B4" s="29" t="s">
        <v>3</v>
      </c>
      <c r="C4" s="29"/>
      <c r="D4" s="29" t="s">
        <v>9</v>
      </c>
      <c r="E4" s="30" t="s">
        <v>204</v>
      </c>
      <c r="F4" s="15" t="s">
        <v>721</v>
      </c>
      <c r="G4" s="15" t="s">
        <v>359</v>
      </c>
      <c r="H4" s="15"/>
      <c r="I4" s="15"/>
      <c r="J4" s="17"/>
      <c r="L4" s="1">
        <v>2</v>
      </c>
      <c r="M4" s="1">
        <v>1000001</v>
      </c>
      <c r="N4" s="1">
        <v>43779304</v>
      </c>
      <c r="O4" s="144">
        <v>44048</v>
      </c>
      <c r="P4" s="145">
        <v>44824.664583333331</v>
      </c>
      <c r="Q4" s="144">
        <v>44896</v>
      </c>
      <c r="R4" s="145">
        <v>44165.676388888889</v>
      </c>
      <c r="S4" s="1"/>
      <c r="T4" s="1">
        <v>32817</v>
      </c>
      <c r="U4" s="1"/>
      <c r="V4" s="1"/>
      <c r="W4" s="1">
        <v>0.89999997615814198</v>
      </c>
      <c r="X4" s="1"/>
      <c r="Y4" s="4" t="s">
        <v>886</v>
      </c>
      <c r="Z4" s="1"/>
      <c r="AA4" s="1"/>
      <c r="AB4" s="1">
        <v>12</v>
      </c>
      <c r="AC4" s="1"/>
      <c r="AD4" s="1"/>
      <c r="AE4" s="1" t="s">
        <v>887</v>
      </c>
      <c r="AF4" s="1">
        <v>2020004659</v>
      </c>
      <c r="AG4" s="1" t="s">
        <v>888</v>
      </c>
      <c r="AH4" s="1" t="s">
        <v>889</v>
      </c>
    </row>
    <row r="5" spans="1:34" ht="93.75">
      <c r="A5" s="29" t="s">
        <v>275</v>
      </c>
      <c r="B5" s="29" t="s">
        <v>3</v>
      </c>
      <c r="C5" s="29"/>
      <c r="D5" s="29" t="s">
        <v>9</v>
      </c>
      <c r="E5" s="29" t="s">
        <v>204</v>
      </c>
      <c r="F5" s="15" t="s">
        <v>159</v>
      </c>
      <c r="G5" s="15" t="s">
        <v>166</v>
      </c>
      <c r="H5" s="120" t="s">
        <v>747</v>
      </c>
      <c r="I5" s="16" t="s">
        <v>163</v>
      </c>
      <c r="J5" s="18"/>
      <c r="L5" s="1">
        <v>3</v>
      </c>
      <c r="M5" s="1">
        <v>1000001</v>
      </c>
      <c r="N5" s="1">
        <v>43779304</v>
      </c>
      <c r="O5" s="144">
        <v>44048</v>
      </c>
      <c r="P5" s="145">
        <v>44824.664583333331</v>
      </c>
      <c r="Q5" s="144">
        <v>44896</v>
      </c>
      <c r="R5" s="145">
        <v>44165.676388888889</v>
      </c>
      <c r="S5" s="1"/>
      <c r="T5" s="1">
        <v>32817</v>
      </c>
      <c r="U5" s="1"/>
      <c r="V5" s="1"/>
      <c r="W5" s="1">
        <v>0.89999997615814198</v>
      </c>
      <c r="X5" s="1"/>
      <c r="Y5" s="4" t="s">
        <v>886</v>
      </c>
      <c r="Z5" s="1"/>
      <c r="AA5" s="1"/>
      <c r="AB5" s="1">
        <v>12</v>
      </c>
      <c r="AC5" s="1"/>
      <c r="AD5" s="1"/>
      <c r="AE5" s="1" t="s">
        <v>887</v>
      </c>
      <c r="AF5" s="1">
        <v>2020004659</v>
      </c>
      <c r="AG5" s="1" t="s">
        <v>888</v>
      </c>
      <c r="AH5" s="1" t="s">
        <v>889</v>
      </c>
    </row>
    <row r="6" spans="1:34" ht="37.5">
      <c r="A6" s="29" t="s">
        <v>101</v>
      </c>
      <c r="B6" s="29" t="s">
        <v>5</v>
      </c>
      <c r="C6" s="29"/>
      <c r="D6" s="29" t="s">
        <v>9</v>
      </c>
      <c r="E6" s="15" t="s">
        <v>162</v>
      </c>
      <c r="F6" s="15" t="s">
        <v>160</v>
      </c>
      <c r="G6" s="15" t="s">
        <v>376</v>
      </c>
      <c r="H6" s="15"/>
      <c r="I6" s="15"/>
      <c r="J6" s="17"/>
      <c r="L6" s="1">
        <v>4</v>
      </c>
      <c r="M6" s="1">
        <v>1000001</v>
      </c>
      <c r="N6" s="1">
        <v>43779304</v>
      </c>
      <c r="O6" s="144">
        <v>44048</v>
      </c>
      <c r="P6" s="145">
        <v>44824.664583333331</v>
      </c>
      <c r="Q6" s="144">
        <v>44896</v>
      </c>
      <c r="R6" s="145">
        <v>44165.676388888889</v>
      </c>
      <c r="S6" s="1"/>
      <c r="T6" s="1">
        <v>32817</v>
      </c>
      <c r="U6" s="1"/>
      <c r="V6" s="1"/>
      <c r="W6" s="1">
        <v>0.89999997615814198</v>
      </c>
      <c r="X6" s="1"/>
      <c r="Y6" s="4" t="s">
        <v>886</v>
      </c>
      <c r="Z6" s="1"/>
      <c r="AA6" s="1"/>
      <c r="AB6" s="1">
        <v>12</v>
      </c>
      <c r="AC6" s="1"/>
      <c r="AD6" s="1"/>
      <c r="AE6" s="1" t="s">
        <v>890</v>
      </c>
      <c r="AF6" s="1">
        <v>2020004659</v>
      </c>
      <c r="AG6" s="1" t="s">
        <v>888</v>
      </c>
      <c r="AH6" s="1" t="s">
        <v>889</v>
      </c>
    </row>
    <row r="7" spans="1:34">
      <c r="A7" s="62" t="s">
        <v>102</v>
      </c>
      <c r="B7" s="62" t="s">
        <v>6</v>
      </c>
      <c r="C7" s="62"/>
      <c r="D7" s="62" t="s">
        <v>10</v>
      </c>
      <c r="E7" s="62"/>
      <c r="F7" s="62"/>
      <c r="G7" s="62" t="s">
        <v>68</v>
      </c>
      <c r="H7" s="62"/>
      <c r="I7" s="62"/>
      <c r="J7" s="17"/>
      <c r="L7" s="1">
        <v>5</v>
      </c>
      <c r="M7" s="1">
        <v>1000001</v>
      </c>
      <c r="N7" s="1">
        <v>43779304</v>
      </c>
      <c r="O7" s="144">
        <v>44048</v>
      </c>
      <c r="P7" s="145">
        <v>44824.664583333331</v>
      </c>
      <c r="Q7" s="144">
        <v>44896</v>
      </c>
      <c r="R7" s="145">
        <v>44165.676388888889</v>
      </c>
      <c r="S7" s="1"/>
      <c r="T7" s="1">
        <v>32817</v>
      </c>
      <c r="U7" s="1"/>
      <c r="V7" s="1"/>
      <c r="W7" s="1">
        <v>0.89999997615814198</v>
      </c>
      <c r="X7" s="1"/>
      <c r="Y7" s="4" t="s">
        <v>886</v>
      </c>
      <c r="Z7" s="1"/>
      <c r="AA7" s="1"/>
      <c r="AB7" s="1">
        <v>12</v>
      </c>
      <c r="AC7" s="1"/>
      <c r="AD7" s="1"/>
      <c r="AE7" s="1" t="s">
        <v>890</v>
      </c>
      <c r="AF7" s="1">
        <v>2020004659</v>
      </c>
      <c r="AG7" s="1" t="s">
        <v>888</v>
      </c>
      <c r="AH7" s="1" t="s">
        <v>889</v>
      </c>
    </row>
    <row r="8" spans="1:34" ht="93.75">
      <c r="A8" s="29" t="s">
        <v>103</v>
      </c>
      <c r="B8" s="29" t="s">
        <v>5</v>
      </c>
      <c r="C8" s="29"/>
      <c r="D8" s="29" t="s">
        <v>9</v>
      </c>
      <c r="E8" s="15" t="s">
        <v>162</v>
      </c>
      <c r="F8" s="15" t="s">
        <v>377</v>
      </c>
      <c r="G8" s="15" t="s">
        <v>378</v>
      </c>
      <c r="H8" s="15"/>
      <c r="I8" s="15"/>
      <c r="J8" s="17"/>
      <c r="L8" s="1">
        <v>6</v>
      </c>
      <c r="M8" s="1">
        <v>1000001</v>
      </c>
      <c r="N8" s="1">
        <v>40958911</v>
      </c>
      <c r="O8" s="144">
        <v>44084</v>
      </c>
      <c r="P8" s="1"/>
      <c r="Q8" s="144">
        <v>44283</v>
      </c>
      <c r="R8" s="1"/>
      <c r="S8" s="1"/>
      <c r="T8" s="1">
        <v>32817</v>
      </c>
      <c r="U8" s="1"/>
      <c r="V8" s="1"/>
      <c r="W8" s="1">
        <v>720</v>
      </c>
      <c r="X8" s="1">
        <v>200</v>
      </c>
      <c r="Y8" s="4" t="s">
        <v>891</v>
      </c>
      <c r="Z8" s="1">
        <v>4132161</v>
      </c>
      <c r="AA8" s="1"/>
      <c r="AB8" s="1">
        <v>2</v>
      </c>
      <c r="AC8" s="1"/>
      <c r="AD8" s="1"/>
      <c r="AE8" s="1" t="s">
        <v>892</v>
      </c>
      <c r="AF8" s="1">
        <v>2022821101</v>
      </c>
      <c r="AG8" s="1" t="s">
        <v>893</v>
      </c>
      <c r="AH8" s="1" t="s">
        <v>894</v>
      </c>
    </row>
    <row r="9" spans="1:34">
      <c r="A9" s="62" t="s">
        <v>104</v>
      </c>
      <c r="B9" s="62" t="s">
        <v>6</v>
      </c>
      <c r="C9" s="62"/>
      <c r="D9" s="62" t="s">
        <v>10</v>
      </c>
      <c r="E9" s="62"/>
      <c r="F9" s="62"/>
      <c r="G9" s="62" t="s">
        <v>68</v>
      </c>
      <c r="H9" s="62"/>
      <c r="I9" s="62"/>
      <c r="J9" s="17"/>
      <c r="L9" s="1">
        <v>7</v>
      </c>
      <c r="M9" s="1">
        <v>1000001</v>
      </c>
      <c r="N9" s="1">
        <v>35150194</v>
      </c>
      <c r="O9" s="144">
        <v>44090</v>
      </c>
      <c r="P9" s="1"/>
      <c r="Q9" s="144">
        <v>44109</v>
      </c>
      <c r="R9" s="1"/>
      <c r="S9" s="1"/>
      <c r="T9" s="1">
        <v>32817</v>
      </c>
      <c r="U9" s="1"/>
      <c r="V9" s="1"/>
      <c r="W9" s="1">
        <v>84</v>
      </c>
      <c r="X9" s="1">
        <v>20</v>
      </c>
      <c r="Y9" s="4"/>
      <c r="Z9" s="1">
        <v>4132161</v>
      </c>
      <c r="AA9" s="1"/>
      <c r="AB9" s="1">
        <v>7</v>
      </c>
      <c r="AC9" s="1"/>
      <c r="AD9" s="1"/>
      <c r="AE9" s="1" t="s">
        <v>895</v>
      </c>
      <c r="AF9" s="1">
        <v>2022199201</v>
      </c>
      <c r="AG9" s="1" t="s">
        <v>893</v>
      </c>
      <c r="AH9" s="1" t="s">
        <v>896</v>
      </c>
    </row>
    <row r="10" spans="1:34" ht="37.5">
      <c r="A10" s="62" t="s">
        <v>105</v>
      </c>
      <c r="B10" s="62" t="s">
        <v>5</v>
      </c>
      <c r="C10" s="62"/>
      <c r="D10" s="62" t="s">
        <v>10</v>
      </c>
      <c r="E10" s="62"/>
      <c r="F10" s="62"/>
      <c r="G10" s="62" t="s">
        <v>68</v>
      </c>
      <c r="H10" s="62"/>
      <c r="I10" s="62"/>
      <c r="J10" s="17"/>
      <c r="L10" s="1">
        <v>8</v>
      </c>
      <c r="M10" s="1">
        <v>1000005</v>
      </c>
      <c r="N10" s="1">
        <v>36783770</v>
      </c>
      <c r="O10" s="144">
        <v>43859</v>
      </c>
      <c r="P10" s="145">
        <v>44509.010416666664</v>
      </c>
      <c r="Q10" s="144">
        <v>44154</v>
      </c>
      <c r="R10" s="145">
        <v>45028.844444444447</v>
      </c>
      <c r="S10" s="1"/>
      <c r="T10" s="1">
        <v>32817</v>
      </c>
      <c r="U10" s="1"/>
      <c r="V10" s="1"/>
      <c r="W10" s="1">
        <v>3.5</v>
      </c>
      <c r="X10" s="1"/>
      <c r="Y10" s="4" t="s">
        <v>897</v>
      </c>
      <c r="Z10" s="1"/>
      <c r="AA10" s="1"/>
      <c r="AB10" s="1">
        <v>1</v>
      </c>
      <c r="AC10" s="1"/>
      <c r="AD10" s="1"/>
      <c r="AE10" s="1" t="s">
        <v>898</v>
      </c>
      <c r="AF10" s="1">
        <v>2020003761</v>
      </c>
      <c r="AG10" s="1" t="s">
        <v>899</v>
      </c>
      <c r="AH10" s="1" t="s">
        <v>900</v>
      </c>
    </row>
    <row r="11" spans="1:34" ht="93.75">
      <c r="A11" s="29" t="s">
        <v>106</v>
      </c>
      <c r="B11" s="29" t="s">
        <v>3</v>
      </c>
      <c r="C11" s="29"/>
      <c r="D11" s="29" t="s">
        <v>9</v>
      </c>
      <c r="E11" s="31" t="s">
        <v>150</v>
      </c>
      <c r="F11" s="15" t="s">
        <v>144</v>
      </c>
      <c r="G11" s="15" t="s">
        <v>365</v>
      </c>
      <c r="H11" s="15"/>
      <c r="I11" s="16" t="s">
        <v>161</v>
      </c>
      <c r="J11" s="17"/>
      <c r="L11" s="1">
        <v>9</v>
      </c>
      <c r="M11" s="1">
        <v>1000005</v>
      </c>
      <c r="N11" s="1">
        <v>36783770</v>
      </c>
      <c r="O11" s="144">
        <v>43859</v>
      </c>
      <c r="P11" s="145">
        <v>44509.010416666664</v>
      </c>
      <c r="Q11" s="144">
        <v>44154</v>
      </c>
      <c r="R11" s="145">
        <v>45028.844444444447</v>
      </c>
      <c r="S11" s="1"/>
      <c r="T11" s="1">
        <v>32817</v>
      </c>
      <c r="U11" s="1"/>
      <c r="V11" s="1"/>
      <c r="W11" s="1">
        <v>3.5</v>
      </c>
      <c r="X11" s="1"/>
      <c r="Y11" s="4" t="s">
        <v>897</v>
      </c>
      <c r="Z11" s="1"/>
      <c r="AA11" s="1"/>
      <c r="AB11" s="1">
        <v>1</v>
      </c>
      <c r="AC11" s="1"/>
      <c r="AD11" s="1"/>
      <c r="AE11" s="1" t="s">
        <v>898</v>
      </c>
      <c r="AF11" s="1">
        <v>2020003761</v>
      </c>
      <c r="AG11" s="1" t="s">
        <v>899</v>
      </c>
      <c r="AH11" s="1" t="s">
        <v>900</v>
      </c>
    </row>
    <row r="12" spans="1:34" ht="37.5">
      <c r="A12" s="62" t="s">
        <v>75</v>
      </c>
      <c r="B12" s="62" t="s">
        <v>4</v>
      </c>
      <c r="C12" s="62">
        <v>20</v>
      </c>
      <c r="D12" s="62" t="s">
        <v>10</v>
      </c>
      <c r="E12" s="62"/>
      <c r="F12" s="62"/>
      <c r="G12" s="62" t="s">
        <v>68</v>
      </c>
      <c r="H12" s="62"/>
      <c r="I12" s="62"/>
      <c r="J12" s="17"/>
      <c r="L12" s="1">
        <v>10</v>
      </c>
      <c r="M12" s="1">
        <v>1000005</v>
      </c>
      <c r="N12" s="1">
        <v>36783770</v>
      </c>
      <c r="O12" s="144">
        <v>43859</v>
      </c>
      <c r="P12" s="145">
        <v>44509.010416666664</v>
      </c>
      <c r="Q12" s="144">
        <v>44154</v>
      </c>
      <c r="R12" s="145">
        <v>45028.844444444447</v>
      </c>
      <c r="S12" s="1"/>
      <c r="T12" s="1">
        <v>32817</v>
      </c>
      <c r="U12" s="1"/>
      <c r="V12" s="1"/>
      <c r="W12" s="1">
        <v>3.5</v>
      </c>
      <c r="X12" s="1"/>
      <c r="Y12" s="4" t="s">
        <v>897</v>
      </c>
      <c r="Z12" s="1"/>
      <c r="AA12" s="1"/>
      <c r="AB12" s="1">
        <v>1</v>
      </c>
      <c r="AC12" s="1"/>
      <c r="AD12" s="1"/>
      <c r="AE12" s="1" t="s">
        <v>901</v>
      </c>
      <c r="AF12" s="1">
        <v>2020003761</v>
      </c>
      <c r="AG12" s="1" t="s">
        <v>899</v>
      </c>
      <c r="AH12" s="1" t="s">
        <v>900</v>
      </c>
    </row>
    <row r="13" spans="1:34" ht="37.5">
      <c r="A13" s="62" t="s">
        <v>107</v>
      </c>
      <c r="B13" s="62" t="s">
        <v>3</v>
      </c>
      <c r="C13" s="62"/>
      <c r="D13" s="62" t="s">
        <v>10</v>
      </c>
      <c r="E13" s="62"/>
      <c r="F13" s="62"/>
      <c r="G13" s="62" t="s">
        <v>68</v>
      </c>
      <c r="H13" s="62"/>
      <c r="I13" s="62"/>
      <c r="J13" s="17"/>
      <c r="L13" s="1">
        <v>11</v>
      </c>
      <c r="M13" s="1">
        <v>1000005</v>
      </c>
      <c r="N13" s="1">
        <v>36783770</v>
      </c>
      <c r="O13" s="144">
        <v>43859</v>
      </c>
      <c r="P13" s="145">
        <v>44509.010416666664</v>
      </c>
      <c r="Q13" s="144">
        <v>44154</v>
      </c>
      <c r="R13" s="145">
        <v>45028.844444444447</v>
      </c>
      <c r="S13" s="1"/>
      <c r="T13" s="1">
        <v>32817</v>
      </c>
      <c r="U13" s="1"/>
      <c r="V13" s="1"/>
      <c r="W13" s="1">
        <v>3.5</v>
      </c>
      <c r="X13" s="1"/>
      <c r="Y13" s="4" t="s">
        <v>897</v>
      </c>
      <c r="Z13" s="1"/>
      <c r="AA13" s="1"/>
      <c r="AB13" s="1">
        <v>1</v>
      </c>
      <c r="AC13" s="1"/>
      <c r="AD13" s="1"/>
      <c r="AE13" s="1" t="s">
        <v>901</v>
      </c>
      <c r="AF13" s="1">
        <v>2020003761</v>
      </c>
      <c r="AG13" s="1" t="s">
        <v>899</v>
      </c>
      <c r="AH13" s="1" t="s">
        <v>900</v>
      </c>
    </row>
    <row r="14" spans="1:34" ht="37.5">
      <c r="A14" s="15" t="s">
        <v>87</v>
      </c>
      <c r="B14" s="15" t="s">
        <v>7</v>
      </c>
      <c r="C14" s="15"/>
      <c r="D14" s="15" t="s">
        <v>10</v>
      </c>
      <c r="E14" s="15" t="s">
        <v>162</v>
      </c>
      <c r="F14" s="15" t="s">
        <v>308</v>
      </c>
      <c r="G14" s="15" t="s">
        <v>379</v>
      </c>
      <c r="H14" s="15"/>
      <c r="I14" s="15"/>
      <c r="J14" s="17"/>
      <c r="L14" s="1">
        <v>12</v>
      </c>
      <c r="M14" s="1">
        <v>1000005</v>
      </c>
      <c r="N14" s="1">
        <v>36783770</v>
      </c>
      <c r="O14" s="144">
        <v>43859</v>
      </c>
      <c r="P14" s="145">
        <v>44509.010416666664</v>
      </c>
      <c r="Q14" s="144">
        <v>44154</v>
      </c>
      <c r="R14" s="145">
        <v>45028.844444444447</v>
      </c>
      <c r="S14" s="1"/>
      <c r="T14" s="1">
        <v>32817</v>
      </c>
      <c r="U14" s="1"/>
      <c r="V14" s="1"/>
      <c r="W14" s="1">
        <v>3.5</v>
      </c>
      <c r="X14" s="1"/>
      <c r="Y14" s="4" t="s">
        <v>897</v>
      </c>
      <c r="Z14" s="1"/>
      <c r="AA14" s="1"/>
      <c r="AB14" s="1">
        <v>1</v>
      </c>
      <c r="AC14" s="1"/>
      <c r="AD14" s="1"/>
      <c r="AE14" s="1" t="s">
        <v>901</v>
      </c>
      <c r="AF14" s="1">
        <v>2020003761</v>
      </c>
      <c r="AG14" s="1" t="s">
        <v>899</v>
      </c>
      <c r="AH14" s="1" t="s">
        <v>900</v>
      </c>
    </row>
    <row r="15" spans="1:34" ht="37.5">
      <c r="A15" s="15" t="s">
        <v>108</v>
      </c>
      <c r="B15" s="15" t="s">
        <v>3</v>
      </c>
      <c r="C15" s="15"/>
      <c r="D15" s="15" t="s">
        <v>10</v>
      </c>
      <c r="E15" s="15" t="s">
        <v>162</v>
      </c>
      <c r="F15" s="15" t="s">
        <v>164</v>
      </c>
      <c r="G15" s="15" t="s">
        <v>380</v>
      </c>
      <c r="H15" s="15"/>
      <c r="I15" s="15"/>
      <c r="J15" s="17"/>
      <c r="L15" s="1">
        <v>13</v>
      </c>
      <c r="M15" s="1">
        <v>1000005</v>
      </c>
      <c r="N15" s="1">
        <v>35150334</v>
      </c>
      <c r="O15" s="144">
        <v>44112</v>
      </c>
      <c r="P15" s="1"/>
      <c r="Q15" s="144">
        <v>44122</v>
      </c>
      <c r="R15" s="1"/>
      <c r="S15" s="1"/>
      <c r="T15" s="1">
        <v>32817</v>
      </c>
      <c r="U15" s="1"/>
      <c r="V15" s="1"/>
      <c r="W15" s="1">
        <v>7</v>
      </c>
      <c r="X15" s="1">
        <v>11</v>
      </c>
      <c r="Y15" s="4" t="s">
        <v>902</v>
      </c>
      <c r="Z15" s="1">
        <v>4132161</v>
      </c>
      <c r="AA15" s="1"/>
      <c r="AB15" s="1">
        <v>1</v>
      </c>
      <c r="AC15" s="1"/>
      <c r="AD15" s="1"/>
      <c r="AE15" s="1" t="s">
        <v>903</v>
      </c>
      <c r="AF15" s="1">
        <v>2022373001</v>
      </c>
      <c r="AG15" s="1" t="s">
        <v>893</v>
      </c>
      <c r="AH15" s="1" t="s">
        <v>904</v>
      </c>
    </row>
    <row r="16" spans="1:34" ht="168.75">
      <c r="A16" s="15" t="s">
        <v>109</v>
      </c>
      <c r="B16" s="15" t="s">
        <v>110</v>
      </c>
      <c r="C16" s="15"/>
      <c r="D16" s="15" t="s">
        <v>10</v>
      </c>
      <c r="E16" s="15" t="s">
        <v>162</v>
      </c>
      <c r="F16" s="15" t="s">
        <v>1894</v>
      </c>
      <c r="G16" s="15" t="s">
        <v>1895</v>
      </c>
      <c r="H16" s="15"/>
      <c r="I16" s="15"/>
      <c r="J16" s="17"/>
      <c r="L16" s="1">
        <v>14</v>
      </c>
      <c r="M16" s="1">
        <v>1000005</v>
      </c>
      <c r="N16" s="1">
        <v>40165642</v>
      </c>
      <c r="O16" s="144">
        <v>44201</v>
      </c>
      <c r="P16" s="1"/>
      <c r="Q16" s="144">
        <v>44209</v>
      </c>
      <c r="R16" s="1"/>
      <c r="S16" s="1"/>
      <c r="T16" s="1">
        <v>32817</v>
      </c>
      <c r="U16" s="1"/>
      <c r="V16" s="1"/>
      <c r="W16" s="1">
        <v>46</v>
      </c>
      <c r="X16" s="1">
        <v>9</v>
      </c>
      <c r="Y16" s="4" t="s">
        <v>905</v>
      </c>
      <c r="Z16" s="1">
        <v>4132161</v>
      </c>
      <c r="AA16" s="1"/>
      <c r="AB16" s="1">
        <v>1</v>
      </c>
      <c r="AC16" s="1"/>
      <c r="AD16" s="1"/>
      <c r="AE16" s="1" t="s">
        <v>906</v>
      </c>
      <c r="AF16" s="1">
        <v>2022239301</v>
      </c>
      <c r="AG16" s="1" t="s">
        <v>907</v>
      </c>
      <c r="AH16" s="1" t="s">
        <v>908</v>
      </c>
    </row>
    <row r="17" spans="1:34" ht="93.75">
      <c r="A17" s="15" t="s">
        <v>111</v>
      </c>
      <c r="B17" s="15" t="s">
        <v>3</v>
      </c>
      <c r="C17" s="15"/>
      <c r="D17" s="15" t="s">
        <v>10</v>
      </c>
      <c r="E17" s="30" t="s">
        <v>204</v>
      </c>
      <c r="F17" s="15" t="s">
        <v>165</v>
      </c>
      <c r="G17" s="65" t="s">
        <v>384</v>
      </c>
      <c r="H17" s="120" t="s">
        <v>746</v>
      </c>
      <c r="I17" s="16" t="s">
        <v>1866</v>
      </c>
      <c r="J17" s="17"/>
      <c r="L17" s="1">
        <v>15</v>
      </c>
      <c r="M17" s="1">
        <v>1000005</v>
      </c>
      <c r="N17" s="1">
        <v>2910618</v>
      </c>
      <c r="O17" s="144">
        <v>44358</v>
      </c>
      <c r="P17" s="1"/>
      <c r="Q17" s="144">
        <v>44368</v>
      </c>
      <c r="R17" s="1"/>
      <c r="S17" s="1"/>
      <c r="T17" s="1">
        <v>32817</v>
      </c>
      <c r="U17" s="1"/>
      <c r="V17" s="1"/>
      <c r="W17" s="1">
        <v>210</v>
      </c>
      <c r="X17" s="1">
        <v>11</v>
      </c>
      <c r="Y17" s="4" t="s">
        <v>909</v>
      </c>
      <c r="Z17" s="1">
        <v>4142048</v>
      </c>
      <c r="AA17" s="1"/>
      <c r="AB17" s="1"/>
      <c r="AC17" s="1"/>
      <c r="AD17" s="1"/>
      <c r="AE17" s="1" t="s">
        <v>910</v>
      </c>
      <c r="AF17" s="1">
        <v>2020004195</v>
      </c>
      <c r="AG17" s="1" t="s">
        <v>911</v>
      </c>
      <c r="AH17" s="1" t="s">
        <v>912</v>
      </c>
    </row>
    <row r="18" spans="1:34">
      <c r="A18" s="62" t="s">
        <v>112</v>
      </c>
      <c r="B18" s="62" t="s">
        <v>4</v>
      </c>
      <c r="C18" s="62">
        <v>50</v>
      </c>
      <c r="D18" s="62" t="s">
        <v>10</v>
      </c>
      <c r="E18" s="62"/>
      <c r="F18" s="62"/>
      <c r="G18" s="62" t="s">
        <v>68</v>
      </c>
      <c r="H18" s="62"/>
      <c r="I18" s="62"/>
      <c r="J18" s="17"/>
      <c r="L18" s="1">
        <v>16</v>
      </c>
      <c r="M18" s="1">
        <v>1000005</v>
      </c>
      <c r="N18" s="1">
        <v>35829532</v>
      </c>
      <c r="O18" s="144">
        <v>44524</v>
      </c>
      <c r="P18" s="1"/>
      <c r="Q18" s="144">
        <v>44535</v>
      </c>
      <c r="R18" s="1"/>
      <c r="S18" s="1"/>
      <c r="T18" s="1">
        <v>32817</v>
      </c>
      <c r="U18" s="1"/>
      <c r="V18" s="1"/>
      <c r="W18" s="1">
        <v>99</v>
      </c>
      <c r="X18" s="1">
        <v>12</v>
      </c>
      <c r="Y18" s="4" t="s">
        <v>913</v>
      </c>
      <c r="Z18" s="1"/>
      <c r="AA18" s="1"/>
      <c r="AB18" s="1">
        <v>16</v>
      </c>
      <c r="AC18" s="1"/>
      <c r="AD18" s="1"/>
      <c r="AE18" s="1" t="s">
        <v>914</v>
      </c>
      <c r="AF18" s="1">
        <v>2022005201</v>
      </c>
      <c r="AG18" s="1"/>
      <c r="AH18" s="1" t="s">
        <v>915</v>
      </c>
    </row>
    <row r="19" spans="1:34" ht="37.5">
      <c r="A19" s="15" t="s">
        <v>56</v>
      </c>
      <c r="B19" s="15" t="s">
        <v>3</v>
      </c>
      <c r="C19" s="15"/>
      <c r="D19" s="15" t="s">
        <v>10</v>
      </c>
      <c r="E19" s="30" t="s">
        <v>204</v>
      </c>
      <c r="F19" s="15" t="s">
        <v>381</v>
      </c>
      <c r="G19" s="15" t="s">
        <v>341</v>
      </c>
      <c r="H19" s="15"/>
      <c r="I19" s="15"/>
      <c r="J19" s="17"/>
      <c r="L19" s="1">
        <v>17</v>
      </c>
      <c r="M19" s="1">
        <v>1000005</v>
      </c>
      <c r="N19" s="1">
        <v>21156789</v>
      </c>
      <c r="O19" s="144">
        <v>44537</v>
      </c>
      <c r="P19" s="145">
        <v>44767.741666666669</v>
      </c>
      <c r="Q19" s="144">
        <v>44972</v>
      </c>
      <c r="R19" s="145">
        <v>44137.872916666667</v>
      </c>
      <c r="S19" s="1"/>
      <c r="T19" s="1">
        <v>32817</v>
      </c>
      <c r="U19" s="1"/>
      <c r="V19" s="1"/>
      <c r="W19" s="1">
        <v>15</v>
      </c>
      <c r="X19" s="1"/>
      <c r="Y19" s="4" t="s">
        <v>916</v>
      </c>
      <c r="Z19" s="1"/>
      <c r="AA19" s="1"/>
      <c r="AB19" s="1">
        <v>3</v>
      </c>
      <c r="AC19" s="1"/>
      <c r="AD19" s="1"/>
      <c r="AE19" s="1" t="s">
        <v>917</v>
      </c>
      <c r="AF19" s="1">
        <v>2022551801</v>
      </c>
      <c r="AG19" s="1" t="s">
        <v>918</v>
      </c>
      <c r="AH19" s="1" t="s">
        <v>919</v>
      </c>
    </row>
    <row r="20" spans="1:34">
      <c r="A20" s="62" t="s">
        <v>76</v>
      </c>
      <c r="B20" s="62" t="s">
        <v>3</v>
      </c>
      <c r="C20" s="62"/>
      <c r="D20" s="62" t="s">
        <v>10</v>
      </c>
      <c r="E20" s="62"/>
      <c r="F20" s="62"/>
      <c r="G20" s="62" t="s">
        <v>68</v>
      </c>
      <c r="H20" s="62"/>
      <c r="I20" s="62"/>
      <c r="J20" s="17"/>
      <c r="L20" s="1">
        <v>18</v>
      </c>
      <c r="M20" s="1">
        <v>1000005</v>
      </c>
      <c r="N20" s="1">
        <v>21156789</v>
      </c>
      <c r="O20" s="144">
        <v>44537</v>
      </c>
      <c r="P20" s="145">
        <v>44767.741666666669</v>
      </c>
      <c r="Q20" s="144">
        <v>44972</v>
      </c>
      <c r="R20" s="145">
        <v>44137.872916666667</v>
      </c>
      <c r="S20" s="1"/>
      <c r="T20" s="1">
        <v>32817</v>
      </c>
      <c r="U20" s="1"/>
      <c r="V20" s="1"/>
      <c r="W20" s="1">
        <v>15</v>
      </c>
      <c r="X20" s="1"/>
      <c r="Y20" s="4" t="s">
        <v>916</v>
      </c>
      <c r="Z20" s="1"/>
      <c r="AA20" s="1"/>
      <c r="AB20" s="1">
        <v>3</v>
      </c>
      <c r="AC20" s="1"/>
      <c r="AD20" s="1"/>
      <c r="AE20" s="1" t="s">
        <v>917</v>
      </c>
      <c r="AF20" s="1">
        <v>2022551801</v>
      </c>
      <c r="AG20" s="1" t="s">
        <v>918</v>
      </c>
      <c r="AH20" s="1" t="s">
        <v>919</v>
      </c>
    </row>
    <row r="21" spans="1:34">
      <c r="A21" s="62" t="s">
        <v>77</v>
      </c>
      <c r="B21" s="62" t="s">
        <v>3</v>
      </c>
      <c r="C21" s="62"/>
      <c r="D21" s="62" t="s">
        <v>10</v>
      </c>
      <c r="E21" s="62"/>
      <c r="F21" s="62"/>
      <c r="G21" s="62" t="s">
        <v>68</v>
      </c>
      <c r="H21" s="62"/>
      <c r="I21" s="62"/>
      <c r="J21" s="17"/>
      <c r="L21" s="1">
        <v>19</v>
      </c>
      <c r="M21" s="1">
        <v>1000005</v>
      </c>
      <c r="N21" s="1">
        <v>21156789</v>
      </c>
      <c r="O21" s="144">
        <v>44537</v>
      </c>
      <c r="P21" s="145">
        <v>44767.741666666669</v>
      </c>
      <c r="Q21" s="144">
        <v>44972</v>
      </c>
      <c r="R21" s="145">
        <v>44137.872916666667</v>
      </c>
      <c r="S21" s="1"/>
      <c r="T21" s="1">
        <v>32817</v>
      </c>
      <c r="U21" s="1"/>
      <c r="V21" s="1"/>
      <c r="W21" s="1">
        <v>15</v>
      </c>
      <c r="X21" s="1"/>
      <c r="Y21" s="4" t="s">
        <v>916</v>
      </c>
      <c r="Z21" s="1"/>
      <c r="AA21" s="1"/>
      <c r="AB21" s="1">
        <v>3</v>
      </c>
      <c r="AC21" s="1"/>
      <c r="AD21" s="1"/>
      <c r="AE21" s="1" t="s">
        <v>920</v>
      </c>
      <c r="AF21" s="1">
        <v>2022551801</v>
      </c>
      <c r="AG21" s="1" t="s">
        <v>918</v>
      </c>
      <c r="AH21" s="1" t="s">
        <v>919</v>
      </c>
    </row>
    <row r="22" spans="1:34" ht="75">
      <c r="A22" s="15" t="s">
        <v>113</v>
      </c>
      <c r="B22" s="15" t="s">
        <v>4</v>
      </c>
      <c r="C22" s="15">
        <v>50</v>
      </c>
      <c r="D22" s="15" t="s">
        <v>10</v>
      </c>
      <c r="E22" s="15" t="s">
        <v>162</v>
      </c>
      <c r="F22" s="15" t="s">
        <v>1838</v>
      </c>
      <c r="G22" s="15" t="s">
        <v>1837</v>
      </c>
      <c r="H22" s="15"/>
      <c r="I22" s="15"/>
      <c r="J22" s="17"/>
      <c r="L22" s="1">
        <v>20</v>
      </c>
      <c r="M22" s="1">
        <v>1000005</v>
      </c>
      <c r="N22" s="1">
        <v>21156789</v>
      </c>
      <c r="O22" s="144">
        <v>44537</v>
      </c>
      <c r="P22" s="145">
        <v>44767.741666666669</v>
      </c>
      <c r="Q22" s="144">
        <v>44972</v>
      </c>
      <c r="R22" s="145">
        <v>44137.872916666667</v>
      </c>
      <c r="S22" s="1"/>
      <c r="T22" s="1">
        <v>32817</v>
      </c>
      <c r="U22" s="1"/>
      <c r="V22" s="1"/>
      <c r="W22" s="1">
        <v>15</v>
      </c>
      <c r="X22" s="1"/>
      <c r="Y22" s="4" t="s">
        <v>916</v>
      </c>
      <c r="Z22" s="1"/>
      <c r="AA22" s="1"/>
      <c r="AB22" s="1">
        <v>3</v>
      </c>
      <c r="AC22" s="1"/>
      <c r="AD22" s="1"/>
      <c r="AE22" s="1" t="s">
        <v>920</v>
      </c>
      <c r="AF22" s="1">
        <v>2022551801</v>
      </c>
      <c r="AG22" s="1" t="s">
        <v>918</v>
      </c>
      <c r="AH22" s="1" t="s">
        <v>919</v>
      </c>
    </row>
    <row r="23" spans="1:34" ht="93.75">
      <c r="A23" s="15" t="s">
        <v>114</v>
      </c>
      <c r="B23" s="15" t="s">
        <v>3</v>
      </c>
      <c r="C23" s="15"/>
      <c r="D23" s="15" t="s">
        <v>10</v>
      </c>
      <c r="E23" s="30" t="s">
        <v>204</v>
      </c>
      <c r="F23" s="15" t="s">
        <v>159</v>
      </c>
      <c r="G23" s="15" t="s">
        <v>383</v>
      </c>
      <c r="H23" s="120" t="s">
        <v>1864</v>
      </c>
      <c r="I23" s="16" t="s">
        <v>1865</v>
      </c>
      <c r="J23" s="18"/>
      <c r="L23" s="1">
        <v>21</v>
      </c>
      <c r="M23" s="1">
        <v>1000005</v>
      </c>
      <c r="N23" s="1">
        <v>21156789</v>
      </c>
      <c r="O23" s="144">
        <v>44537</v>
      </c>
      <c r="P23" s="145">
        <v>44767.741666666669</v>
      </c>
      <c r="Q23" s="144">
        <v>44972</v>
      </c>
      <c r="R23" s="145">
        <v>44137.872916666667</v>
      </c>
      <c r="S23" s="1"/>
      <c r="T23" s="1">
        <v>32817</v>
      </c>
      <c r="U23" s="1"/>
      <c r="V23" s="1"/>
      <c r="W23" s="1">
        <v>15</v>
      </c>
      <c r="X23" s="1"/>
      <c r="Y23" s="4" t="s">
        <v>916</v>
      </c>
      <c r="Z23" s="1"/>
      <c r="AA23" s="1"/>
      <c r="AB23" s="1">
        <v>3</v>
      </c>
      <c r="AC23" s="1"/>
      <c r="AD23" s="1"/>
      <c r="AE23" s="1" t="s">
        <v>920</v>
      </c>
      <c r="AF23" s="1">
        <v>2022551801</v>
      </c>
      <c r="AG23" s="1" t="s">
        <v>918</v>
      </c>
      <c r="AH23" s="1" t="s">
        <v>919</v>
      </c>
    </row>
    <row r="24" spans="1:34" ht="56.25">
      <c r="A24" s="15" t="s">
        <v>115</v>
      </c>
      <c r="B24" s="15" t="s">
        <v>4</v>
      </c>
      <c r="C24" s="15">
        <v>50</v>
      </c>
      <c r="D24" s="15" t="s">
        <v>10</v>
      </c>
      <c r="E24" s="15" t="s">
        <v>162</v>
      </c>
      <c r="F24" s="15" t="s">
        <v>1129</v>
      </c>
      <c r="G24" s="15" t="s">
        <v>1130</v>
      </c>
      <c r="H24" s="15"/>
      <c r="I24" s="15"/>
      <c r="J24" s="17"/>
      <c r="L24" s="1">
        <v>22</v>
      </c>
      <c r="M24" s="1">
        <v>1000005</v>
      </c>
      <c r="N24" s="1">
        <v>40724883</v>
      </c>
      <c r="O24" s="144">
        <v>44581</v>
      </c>
      <c r="P24" s="1"/>
      <c r="Q24" s="144">
        <v>44591</v>
      </c>
      <c r="R24" s="1"/>
      <c r="S24" s="1"/>
      <c r="T24" s="1">
        <v>32817</v>
      </c>
      <c r="U24" s="1"/>
      <c r="V24" s="1"/>
      <c r="W24" s="1">
        <v>100</v>
      </c>
      <c r="X24" s="1">
        <v>11</v>
      </c>
      <c r="Y24" s="4" t="s">
        <v>921</v>
      </c>
      <c r="Z24" s="1">
        <v>4132161</v>
      </c>
      <c r="AA24" s="1"/>
      <c r="AB24" s="1">
        <v>16</v>
      </c>
      <c r="AC24" s="1"/>
      <c r="AD24" s="1"/>
      <c r="AE24" s="1" t="s">
        <v>922</v>
      </c>
      <c r="AF24" s="1">
        <v>2020004980</v>
      </c>
      <c r="AG24" s="1" t="s">
        <v>907</v>
      </c>
      <c r="AH24" s="1" t="s">
        <v>923</v>
      </c>
    </row>
    <row r="25" spans="1:34" ht="56.25">
      <c r="A25" s="15" t="s">
        <v>116</v>
      </c>
      <c r="B25" s="15" t="s">
        <v>4</v>
      </c>
      <c r="C25" s="15">
        <v>50</v>
      </c>
      <c r="D25" s="15" t="s">
        <v>10</v>
      </c>
      <c r="E25" s="15" t="s">
        <v>162</v>
      </c>
      <c r="F25" s="15" t="s">
        <v>1841</v>
      </c>
      <c r="G25" s="15" t="s">
        <v>1131</v>
      </c>
      <c r="H25" s="15"/>
      <c r="I25" s="15"/>
      <c r="J25" s="17"/>
      <c r="L25" s="1">
        <v>23</v>
      </c>
      <c r="M25" s="1">
        <v>1000005</v>
      </c>
      <c r="N25" s="1">
        <v>40163283</v>
      </c>
      <c r="O25" s="144">
        <v>44729</v>
      </c>
      <c r="P25" s="1"/>
      <c r="Q25" s="144">
        <v>44749</v>
      </c>
      <c r="R25" s="1"/>
      <c r="S25" s="1"/>
      <c r="T25" s="1">
        <v>32817</v>
      </c>
      <c r="U25" s="1"/>
      <c r="V25" s="1"/>
      <c r="W25" s="1">
        <v>116</v>
      </c>
      <c r="X25" s="1">
        <v>21</v>
      </c>
      <c r="Y25" s="4" t="s">
        <v>924</v>
      </c>
      <c r="Z25" s="1"/>
      <c r="AA25" s="1"/>
      <c r="AB25" s="1">
        <v>10</v>
      </c>
      <c r="AC25" s="1"/>
      <c r="AD25" s="1"/>
      <c r="AE25" s="1" t="s">
        <v>925</v>
      </c>
      <c r="AF25" s="1">
        <v>2010412202</v>
      </c>
      <c r="AG25" s="1"/>
      <c r="AH25" s="1" t="s">
        <v>926</v>
      </c>
    </row>
    <row r="26" spans="1:34">
      <c r="L26" s="1">
        <v>24</v>
      </c>
      <c r="M26" s="1">
        <v>1000005</v>
      </c>
      <c r="N26" s="1">
        <v>40165789</v>
      </c>
      <c r="O26" s="144">
        <v>44750</v>
      </c>
      <c r="P26" s="1"/>
      <c r="Q26" s="144">
        <v>44809</v>
      </c>
      <c r="R26" s="1"/>
      <c r="S26" s="1"/>
      <c r="T26" s="1">
        <v>32817</v>
      </c>
      <c r="U26" s="1"/>
      <c r="V26" s="1"/>
      <c r="W26" s="1">
        <v>154</v>
      </c>
      <c r="X26" s="1">
        <v>60</v>
      </c>
      <c r="Y26" s="4" t="s">
        <v>927</v>
      </c>
      <c r="Z26" s="1">
        <v>4177987</v>
      </c>
      <c r="AA26" s="1"/>
      <c r="AB26" s="1">
        <v>16</v>
      </c>
      <c r="AC26" s="1"/>
      <c r="AD26" s="1"/>
      <c r="AE26" s="1" t="s">
        <v>928</v>
      </c>
      <c r="AF26" s="1">
        <v>2021401501</v>
      </c>
      <c r="AG26" s="1" t="s">
        <v>929</v>
      </c>
      <c r="AH26" s="1" t="s">
        <v>930</v>
      </c>
    </row>
    <row r="27" spans="1:34">
      <c r="A27" s="250" t="s">
        <v>1808</v>
      </c>
      <c r="L27" s="1">
        <v>25</v>
      </c>
      <c r="M27" s="1">
        <v>1000005</v>
      </c>
      <c r="N27" s="1">
        <v>1336541</v>
      </c>
      <c r="O27" s="144">
        <v>44771</v>
      </c>
      <c r="P27" s="1"/>
      <c r="Q27" s="144">
        <v>44788</v>
      </c>
      <c r="R27" s="1"/>
      <c r="S27" s="1"/>
      <c r="T27" s="1">
        <v>32817</v>
      </c>
      <c r="U27" s="1"/>
      <c r="V27" s="1"/>
      <c r="W27" s="1">
        <v>2.5</v>
      </c>
      <c r="X27" s="1">
        <v>18</v>
      </c>
      <c r="Y27" s="4" t="s">
        <v>931</v>
      </c>
      <c r="Z27" s="1">
        <v>4132161</v>
      </c>
      <c r="AA27" s="1"/>
      <c r="AB27" s="1">
        <v>9</v>
      </c>
      <c r="AC27" s="1"/>
      <c r="AD27" s="1"/>
      <c r="AE27" s="1" t="s">
        <v>932</v>
      </c>
      <c r="AF27" s="1">
        <v>2020006801</v>
      </c>
      <c r="AG27" s="1" t="s">
        <v>893</v>
      </c>
      <c r="AH27" s="1" t="s">
        <v>933</v>
      </c>
    </row>
    <row r="28" spans="1:34">
      <c r="A28" s="250" t="s">
        <v>1809</v>
      </c>
      <c r="L28" s="1">
        <v>26</v>
      </c>
      <c r="M28" s="1">
        <v>1000005</v>
      </c>
      <c r="N28" s="1">
        <v>40223834</v>
      </c>
      <c r="O28" s="144">
        <v>44816</v>
      </c>
      <c r="P28" s="1"/>
      <c r="Q28" s="144">
        <v>44839</v>
      </c>
      <c r="R28" s="1"/>
      <c r="S28" s="1"/>
      <c r="T28" s="1">
        <v>32817</v>
      </c>
      <c r="U28" s="1"/>
      <c r="V28" s="1"/>
      <c r="W28" s="1">
        <v>294</v>
      </c>
      <c r="X28" s="1">
        <v>24</v>
      </c>
      <c r="Y28" s="4" t="s">
        <v>934</v>
      </c>
      <c r="Z28" s="1"/>
      <c r="AA28" s="1"/>
      <c r="AB28" s="1">
        <v>12</v>
      </c>
      <c r="AC28" s="1"/>
      <c r="AD28" s="1"/>
      <c r="AE28" s="1" t="s">
        <v>935</v>
      </c>
      <c r="AF28" s="1">
        <v>2010443040</v>
      </c>
      <c r="AG28" s="1"/>
      <c r="AH28" s="1" t="s">
        <v>936</v>
      </c>
    </row>
    <row r="29" spans="1:34">
      <c r="A29" s="250" t="s">
        <v>1810</v>
      </c>
      <c r="L29" s="1">
        <v>27</v>
      </c>
      <c r="M29" s="1">
        <v>1000005</v>
      </c>
      <c r="N29" s="1">
        <v>40714620</v>
      </c>
      <c r="O29" s="144">
        <v>44875</v>
      </c>
      <c r="P29" s="145">
        <v>44229.777083333334</v>
      </c>
      <c r="Q29" s="144">
        <v>43929</v>
      </c>
      <c r="R29" s="145">
        <v>44795.550694444442</v>
      </c>
      <c r="S29" s="1"/>
      <c r="T29" s="1">
        <v>32817</v>
      </c>
      <c r="U29" s="1"/>
      <c r="V29" s="1"/>
      <c r="W29" s="1">
        <v>500</v>
      </c>
      <c r="X29" s="1"/>
      <c r="Y29" s="4" t="s">
        <v>937</v>
      </c>
      <c r="Z29" s="1"/>
      <c r="AA29" s="1"/>
      <c r="AB29" s="1">
        <v>3</v>
      </c>
      <c r="AC29" s="1"/>
      <c r="AD29" s="1"/>
      <c r="AE29" s="1" t="s">
        <v>938</v>
      </c>
      <c r="AF29" s="1">
        <v>2022662201</v>
      </c>
      <c r="AG29" s="1" t="s">
        <v>939</v>
      </c>
      <c r="AH29" s="1" t="s">
        <v>940</v>
      </c>
    </row>
    <row r="30" spans="1:34">
      <c r="A30" s="18"/>
      <c r="D30" s="19"/>
      <c r="L30" s="1">
        <v>28</v>
      </c>
      <c r="M30" s="1">
        <v>1000005</v>
      </c>
      <c r="N30" s="1">
        <v>40714620</v>
      </c>
      <c r="O30" s="144">
        <v>44875</v>
      </c>
      <c r="P30" s="145">
        <v>44229.777083333334</v>
      </c>
      <c r="Q30" s="144">
        <v>43929</v>
      </c>
      <c r="R30" s="145">
        <v>44795.550694444442</v>
      </c>
      <c r="S30" s="1"/>
      <c r="T30" s="1">
        <v>32817</v>
      </c>
      <c r="U30" s="1"/>
      <c r="V30" s="1"/>
      <c r="W30" s="1">
        <v>500</v>
      </c>
      <c r="X30" s="1"/>
      <c r="Y30" s="4" t="s">
        <v>937</v>
      </c>
      <c r="Z30" s="1"/>
      <c r="AA30" s="1"/>
      <c r="AB30" s="1">
        <v>3</v>
      </c>
      <c r="AC30" s="1"/>
      <c r="AD30" s="1"/>
      <c r="AE30" s="1" t="s">
        <v>938</v>
      </c>
      <c r="AF30" s="1">
        <v>2022662201</v>
      </c>
      <c r="AG30" s="1" t="s">
        <v>939</v>
      </c>
      <c r="AH30" s="1" t="s">
        <v>940</v>
      </c>
    </row>
    <row r="31" spans="1:34">
      <c r="A31" s="17"/>
      <c r="L31" s="1">
        <v>29</v>
      </c>
      <c r="M31" s="1">
        <v>1000005</v>
      </c>
      <c r="N31" s="1">
        <v>40714620</v>
      </c>
      <c r="O31" s="144">
        <v>44875</v>
      </c>
      <c r="P31" s="145">
        <v>44229.777083333334</v>
      </c>
      <c r="Q31" s="144">
        <v>43929</v>
      </c>
      <c r="R31" s="145">
        <v>44795.550694444442</v>
      </c>
      <c r="S31" s="1"/>
      <c r="T31" s="1">
        <v>32817</v>
      </c>
      <c r="U31" s="1"/>
      <c r="V31" s="1"/>
      <c r="W31" s="1">
        <v>500</v>
      </c>
      <c r="X31" s="1"/>
      <c r="Y31" s="4" t="s">
        <v>937</v>
      </c>
      <c r="Z31" s="1"/>
      <c r="AA31" s="1"/>
      <c r="AB31" s="1">
        <v>3</v>
      </c>
      <c r="AC31" s="1"/>
      <c r="AD31" s="1"/>
      <c r="AE31" s="1" t="s">
        <v>941</v>
      </c>
      <c r="AF31" s="1">
        <v>2022662201</v>
      </c>
      <c r="AG31" s="1" t="s">
        <v>939</v>
      </c>
      <c r="AH31" s="1" t="s">
        <v>940</v>
      </c>
    </row>
    <row r="32" spans="1:34">
      <c r="A32" s="17"/>
      <c r="L32" s="1">
        <v>30</v>
      </c>
      <c r="M32" s="1">
        <v>1000005</v>
      </c>
      <c r="N32" s="1">
        <v>40714620</v>
      </c>
      <c r="O32" s="144">
        <v>44875</v>
      </c>
      <c r="P32" s="145">
        <v>44229.777083333334</v>
      </c>
      <c r="Q32" s="144">
        <v>43929</v>
      </c>
      <c r="R32" s="145">
        <v>44795.550694444442</v>
      </c>
      <c r="S32" s="1"/>
      <c r="T32" s="1">
        <v>32817</v>
      </c>
      <c r="U32" s="1"/>
      <c r="V32" s="1"/>
      <c r="W32" s="1">
        <v>500</v>
      </c>
      <c r="X32" s="1"/>
      <c r="Y32" s="4" t="s">
        <v>937</v>
      </c>
      <c r="Z32" s="1"/>
      <c r="AA32" s="1"/>
      <c r="AB32" s="1">
        <v>3</v>
      </c>
      <c r="AC32" s="1"/>
      <c r="AD32" s="1"/>
      <c r="AE32" s="1" t="s">
        <v>941</v>
      </c>
      <c r="AF32" s="1">
        <v>2022662201</v>
      </c>
      <c r="AG32" s="1" t="s">
        <v>939</v>
      </c>
      <c r="AH32" s="1" t="s">
        <v>940</v>
      </c>
    </row>
    <row r="33" spans="1:34">
      <c r="A33" s="17"/>
      <c r="L33" s="1">
        <v>31</v>
      </c>
      <c r="M33" s="1">
        <v>1000005</v>
      </c>
      <c r="N33" s="1">
        <v>40714620</v>
      </c>
      <c r="O33" s="144">
        <v>44875</v>
      </c>
      <c r="P33" s="145">
        <v>44229.777083333334</v>
      </c>
      <c r="Q33" s="144">
        <v>43929</v>
      </c>
      <c r="R33" s="145">
        <v>44795.550694444442</v>
      </c>
      <c r="S33" s="1"/>
      <c r="T33" s="1">
        <v>32817</v>
      </c>
      <c r="U33" s="1"/>
      <c r="V33" s="1"/>
      <c r="W33" s="1">
        <v>500</v>
      </c>
      <c r="X33" s="1"/>
      <c r="Y33" s="4" t="s">
        <v>937</v>
      </c>
      <c r="Z33" s="1"/>
      <c r="AA33" s="1"/>
      <c r="AB33" s="1">
        <v>3</v>
      </c>
      <c r="AC33" s="1"/>
      <c r="AD33" s="1"/>
      <c r="AE33" s="1" t="s">
        <v>941</v>
      </c>
      <c r="AF33" s="1">
        <v>2022662201</v>
      </c>
      <c r="AG33" s="1" t="s">
        <v>939</v>
      </c>
      <c r="AH33" s="1" t="s">
        <v>940</v>
      </c>
    </row>
    <row r="34" spans="1:34">
      <c r="A34" s="17"/>
      <c r="L34" s="1">
        <v>32</v>
      </c>
      <c r="M34" s="1">
        <v>1000005</v>
      </c>
      <c r="N34" s="1">
        <v>43151362</v>
      </c>
      <c r="O34" s="144">
        <v>44968</v>
      </c>
      <c r="P34" s="1"/>
      <c r="Q34" s="144">
        <v>44976</v>
      </c>
      <c r="R34" s="1"/>
      <c r="S34" s="1"/>
      <c r="T34" s="1">
        <v>32817</v>
      </c>
      <c r="U34" s="1"/>
      <c r="V34" s="1"/>
      <c r="W34" s="1">
        <v>1200</v>
      </c>
      <c r="X34" s="1">
        <v>9</v>
      </c>
      <c r="Y34" s="4" t="s">
        <v>942</v>
      </c>
      <c r="Z34" s="1">
        <v>4132161</v>
      </c>
      <c r="AA34" s="1"/>
      <c r="AB34" s="1">
        <v>8</v>
      </c>
      <c r="AC34" s="1"/>
      <c r="AD34" s="1"/>
      <c r="AE34" s="1" t="s">
        <v>943</v>
      </c>
      <c r="AF34" s="1">
        <v>2010444126</v>
      </c>
      <c r="AG34" s="1" t="s">
        <v>907</v>
      </c>
      <c r="AH34" s="1" t="s">
        <v>944</v>
      </c>
    </row>
    <row r="35" spans="1:34">
      <c r="A35" s="17"/>
      <c r="L35" s="1">
        <v>33</v>
      </c>
      <c r="M35" s="1">
        <v>1000005</v>
      </c>
      <c r="N35" s="1">
        <v>36895276</v>
      </c>
      <c r="O35" s="144">
        <v>45110</v>
      </c>
      <c r="P35" s="145">
        <v>44932.802777777775</v>
      </c>
      <c r="Q35" s="144">
        <v>45341</v>
      </c>
      <c r="R35" s="145">
        <v>45273.56527777778</v>
      </c>
      <c r="S35" s="1"/>
      <c r="T35" s="1">
        <v>32817</v>
      </c>
      <c r="U35" s="1"/>
      <c r="V35" s="1"/>
      <c r="W35" s="1">
        <v>4000</v>
      </c>
      <c r="X35" s="1"/>
      <c r="Y35" s="4" t="s">
        <v>945</v>
      </c>
      <c r="Z35" s="1"/>
      <c r="AA35" s="1"/>
      <c r="AB35" s="1">
        <v>11</v>
      </c>
      <c r="AC35" s="1"/>
      <c r="AD35" s="1"/>
      <c r="AE35" s="1" t="s">
        <v>946</v>
      </c>
      <c r="AF35" s="1">
        <v>2020006227</v>
      </c>
      <c r="AG35" s="1" t="s">
        <v>947</v>
      </c>
      <c r="AH35" s="1" t="s">
        <v>948</v>
      </c>
    </row>
    <row r="36" spans="1:34">
      <c r="A36" s="17"/>
      <c r="L36" s="1">
        <v>34</v>
      </c>
      <c r="M36" s="1">
        <v>1000005</v>
      </c>
      <c r="N36" s="1">
        <v>36895276</v>
      </c>
      <c r="O36" s="144">
        <v>45110</v>
      </c>
      <c r="P36" s="145">
        <v>44932.802777777775</v>
      </c>
      <c r="Q36" s="144">
        <v>45341</v>
      </c>
      <c r="R36" s="145">
        <v>45273.56527777778</v>
      </c>
      <c r="S36" s="1"/>
      <c r="T36" s="1">
        <v>32817</v>
      </c>
      <c r="U36" s="1"/>
      <c r="V36" s="1"/>
      <c r="W36" s="1">
        <v>4000</v>
      </c>
      <c r="X36" s="1"/>
      <c r="Y36" s="4" t="s">
        <v>945</v>
      </c>
      <c r="Z36" s="1"/>
      <c r="AA36" s="1"/>
      <c r="AB36" s="1">
        <v>11</v>
      </c>
      <c r="AC36" s="1"/>
      <c r="AD36" s="1"/>
      <c r="AE36" s="1" t="s">
        <v>946</v>
      </c>
      <c r="AF36" s="1">
        <v>2020006227</v>
      </c>
      <c r="AG36" s="1" t="s">
        <v>947</v>
      </c>
      <c r="AH36" s="1" t="s">
        <v>948</v>
      </c>
    </row>
    <row r="37" spans="1:34">
      <c r="A37" s="17"/>
      <c r="L37" s="1">
        <v>35</v>
      </c>
      <c r="M37" s="1">
        <v>1000005</v>
      </c>
      <c r="N37" s="1">
        <v>36895276</v>
      </c>
      <c r="O37" s="144">
        <v>45110</v>
      </c>
      <c r="P37" s="145">
        <v>44932.802777777775</v>
      </c>
      <c r="Q37" s="144">
        <v>45341</v>
      </c>
      <c r="R37" s="145">
        <v>45273.56527777778</v>
      </c>
      <c r="S37" s="1"/>
      <c r="T37" s="1">
        <v>32817</v>
      </c>
      <c r="U37" s="1"/>
      <c r="V37" s="1"/>
      <c r="W37" s="1">
        <v>4000</v>
      </c>
      <c r="X37" s="1"/>
      <c r="Y37" s="4" t="s">
        <v>945</v>
      </c>
      <c r="Z37" s="1"/>
      <c r="AA37" s="1"/>
      <c r="AB37" s="1">
        <v>11</v>
      </c>
      <c r="AC37" s="1"/>
      <c r="AD37" s="1"/>
      <c r="AE37" s="1" t="s">
        <v>949</v>
      </c>
      <c r="AF37" s="1">
        <v>2020006227</v>
      </c>
      <c r="AG37" s="1" t="s">
        <v>947</v>
      </c>
      <c r="AH37" s="1" t="s">
        <v>948</v>
      </c>
    </row>
    <row r="38" spans="1:34">
      <c r="A38" s="17"/>
      <c r="L38" s="1">
        <v>36</v>
      </c>
      <c r="M38" s="1">
        <v>1000005</v>
      </c>
      <c r="N38" s="1">
        <v>36895276</v>
      </c>
      <c r="O38" s="144">
        <v>45110</v>
      </c>
      <c r="P38" s="145">
        <v>44932.802777777775</v>
      </c>
      <c r="Q38" s="144">
        <v>45341</v>
      </c>
      <c r="R38" s="145">
        <v>45273.56527777778</v>
      </c>
      <c r="S38" s="1"/>
      <c r="T38" s="1">
        <v>32817</v>
      </c>
      <c r="U38" s="1"/>
      <c r="V38" s="1"/>
      <c r="W38" s="1">
        <v>4000</v>
      </c>
      <c r="X38" s="1"/>
      <c r="Y38" s="4" t="s">
        <v>945</v>
      </c>
      <c r="Z38" s="1"/>
      <c r="AA38" s="1"/>
      <c r="AB38" s="1">
        <v>11</v>
      </c>
      <c r="AC38" s="1"/>
      <c r="AD38" s="1"/>
      <c r="AE38" s="1" t="s">
        <v>949</v>
      </c>
      <c r="AF38" s="1">
        <v>2020006227</v>
      </c>
      <c r="AG38" s="1" t="s">
        <v>947</v>
      </c>
      <c r="AH38" s="1" t="s">
        <v>948</v>
      </c>
    </row>
    <row r="39" spans="1:34">
      <c r="A39" s="17"/>
      <c r="L39" s="1">
        <v>37</v>
      </c>
      <c r="M39" s="1">
        <v>1000005</v>
      </c>
      <c r="N39" s="1">
        <v>36895276</v>
      </c>
      <c r="O39" s="144">
        <v>45110</v>
      </c>
      <c r="P39" s="145">
        <v>44932.802777777775</v>
      </c>
      <c r="Q39" s="144">
        <v>45341</v>
      </c>
      <c r="R39" s="145">
        <v>45273.56527777778</v>
      </c>
      <c r="S39" s="1"/>
      <c r="T39" s="1">
        <v>32817</v>
      </c>
      <c r="U39" s="1"/>
      <c r="V39" s="1"/>
      <c r="W39" s="1">
        <v>4000</v>
      </c>
      <c r="X39" s="1"/>
      <c r="Y39" s="4" t="s">
        <v>945</v>
      </c>
      <c r="Z39" s="1"/>
      <c r="AA39" s="1"/>
      <c r="AB39" s="1">
        <v>11</v>
      </c>
      <c r="AC39" s="1"/>
      <c r="AD39" s="1"/>
      <c r="AE39" s="1" t="s">
        <v>949</v>
      </c>
      <c r="AF39" s="1">
        <v>2020006227</v>
      </c>
      <c r="AG39" s="1" t="s">
        <v>947</v>
      </c>
      <c r="AH39" s="1" t="s">
        <v>948</v>
      </c>
    </row>
    <row r="40" spans="1:34">
      <c r="A40" s="17"/>
      <c r="L40" s="1">
        <v>38</v>
      </c>
      <c r="M40" s="1">
        <v>1000007</v>
      </c>
      <c r="N40" s="1">
        <v>35603398</v>
      </c>
      <c r="O40" s="144">
        <v>44287</v>
      </c>
      <c r="P40" s="145">
        <v>44519.254166666666</v>
      </c>
      <c r="Q40" s="144">
        <v>44376</v>
      </c>
      <c r="R40" s="145">
        <v>44305.486805555556</v>
      </c>
      <c r="S40" s="1"/>
      <c r="T40" s="1">
        <v>32817</v>
      </c>
      <c r="U40" s="1"/>
      <c r="V40" s="1"/>
      <c r="W40" s="1">
        <v>2000</v>
      </c>
      <c r="X40" s="1"/>
      <c r="Y40" s="4" t="s">
        <v>950</v>
      </c>
      <c r="Z40" s="1"/>
      <c r="AA40" s="1"/>
      <c r="AB40" s="1">
        <v>3</v>
      </c>
      <c r="AC40" s="1"/>
      <c r="AD40" s="1"/>
      <c r="AE40" s="1" t="s">
        <v>951</v>
      </c>
      <c r="AF40" s="1">
        <v>2021120001</v>
      </c>
      <c r="AG40" s="1" t="s">
        <v>952</v>
      </c>
      <c r="AH40" s="1" t="s">
        <v>953</v>
      </c>
    </row>
    <row r="41" spans="1:34">
      <c r="A41" s="17"/>
      <c r="L41" s="1">
        <v>39</v>
      </c>
      <c r="M41" s="1">
        <v>1000007</v>
      </c>
      <c r="N41" s="1">
        <v>35603398</v>
      </c>
      <c r="O41" s="144">
        <v>44287</v>
      </c>
      <c r="P41" s="145">
        <v>44519.254166666666</v>
      </c>
      <c r="Q41" s="144">
        <v>44376</v>
      </c>
      <c r="R41" s="145">
        <v>44305.486805555556</v>
      </c>
      <c r="S41" s="1"/>
      <c r="T41" s="1">
        <v>32817</v>
      </c>
      <c r="U41" s="1"/>
      <c r="V41" s="1"/>
      <c r="W41" s="1">
        <v>2000</v>
      </c>
      <c r="X41" s="1"/>
      <c r="Y41" s="4" t="s">
        <v>950</v>
      </c>
      <c r="Z41" s="1"/>
      <c r="AA41" s="1"/>
      <c r="AB41" s="1">
        <v>3</v>
      </c>
      <c r="AC41" s="1"/>
      <c r="AD41" s="1"/>
      <c r="AE41" s="1" t="s">
        <v>951</v>
      </c>
      <c r="AF41" s="1">
        <v>2021120001</v>
      </c>
      <c r="AG41" s="1" t="s">
        <v>952</v>
      </c>
      <c r="AH41" s="1" t="s">
        <v>953</v>
      </c>
    </row>
    <row r="42" spans="1:34">
      <c r="A42" s="17"/>
      <c r="L42" s="1">
        <v>40</v>
      </c>
      <c r="M42" s="1">
        <v>1000007</v>
      </c>
      <c r="N42" s="1">
        <v>35603398</v>
      </c>
      <c r="O42" s="144">
        <v>44287</v>
      </c>
      <c r="P42" s="145">
        <v>44519.254166666666</v>
      </c>
      <c r="Q42" s="144">
        <v>44376</v>
      </c>
      <c r="R42" s="145">
        <v>44305.486805555556</v>
      </c>
      <c r="S42" s="1"/>
      <c r="T42" s="1">
        <v>32817</v>
      </c>
      <c r="U42" s="1"/>
      <c r="V42" s="1"/>
      <c r="W42" s="1">
        <v>2000</v>
      </c>
      <c r="X42" s="1"/>
      <c r="Y42" s="4" t="s">
        <v>950</v>
      </c>
      <c r="Z42" s="1"/>
      <c r="AA42" s="1"/>
      <c r="AB42" s="1">
        <v>3</v>
      </c>
      <c r="AC42" s="1"/>
      <c r="AD42" s="1"/>
      <c r="AE42" s="1" t="s">
        <v>951</v>
      </c>
      <c r="AF42" s="1">
        <v>2021120001</v>
      </c>
      <c r="AG42" s="1" t="s">
        <v>952</v>
      </c>
      <c r="AH42" s="1" t="s">
        <v>953</v>
      </c>
    </row>
    <row r="43" spans="1:34">
      <c r="A43" s="17"/>
      <c r="L43" s="1">
        <v>41</v>
      </c>
      <c r="M43" s="1">
        <v>1000007</v>
      </c>
      <c r="N43" s="1">
        <v>35603398</v>
      </c>
      <c r="O43" s="144">
        <v>44287</v>
      </c>
      <c r="P43" s="145">
        <v>44519.254166666666</v>
      </c>
      <c r="Q43" s="144">
        <v>44376</v>
      </c>
      <c r="R43" s="145">
        <v>44305.486805555556</v>
      </c>
      <c r="S43" s="1"/>
      <c r="T43" s="1">
        <v>32817</v>
      </c>
      <c r="U43" s="1"/>
      <c r="V43" s="1"/>
      <c r="W43" s="1">
        <v>2000</v>
      </c>
      <c r="X43" s="1"/>
      <c r="Y43" s="4" t="s">
        <v>950</v>
      </c>
      <c r="Z43" s="1"/>
      <c r="AA43" s="1"/>
      <c r="AB43" s="1">
        <v>3</v>
      </c>
      <c r="AC43" s="1"/>
      <c r="AD43" s="1"/>
      <c r="AE43" s="1" t="s">
        <v>954</v>
      </c>
      <c r="AF43" s="1">
        <v>2021120001</v>
      </c>
      <c r="AG43" s="1" t="s">
        <v>952</v>
      </c>
      <c r="AH43" s="1" t="s">
        <v>953</v>
      </c>
    </row>
    <row r="44" spans="1:34">
      <c r="A44" s="17"/>
      <c r="L44" s="1">
        <v>42</v>
      </c>
      <c r="M44" s="1">
        <v>1000007</v>
      </c>
      <c r="N44" s="1">
        <v>35603398</v>
      </c>
      <c r="O44" s="144">
        <v>44287</v>
      </c>
      <c r="P44" s="145">
        <v>44519.254166666666</v>
      </c>
      <c r="Q44" s="144">
        <v>44376</v>
      </c>
      <c r="R44" s="145">
        <v>44305.486805555556</v>
      </c>
      <c r="S44" s="1"/>
      <c r="T44" s="1">
        <v>32817</v>
      </c>
      <c r="U44" s="1"/>
      <c r="V44" s="1"/>
      <c r="W44" s="1">
        <v>2000</v>
      </c>
      <c r="X44" s="1"/>
      <c r="Y44" s="4" t="s">
        <v>950</v>
      </c>
      <c r="Z44" s="1"/>
      <c r="AA44" s="1"/>
      <c r="AB44" s="1">
        <v>3</v>
      </c>
      <c r="AC44" s="1"/>
      <c r="AD44" s="1"/>
      <c r="AE44" s="1" t="s">
        <v>954</v>
      </c>
      <c r="AF44" s="1">
        <v>2021120001</v>
      </c>
      <c r="AG44" s="1" t="s">
        <v>952</v>
      </c>
      <c r="AH44" s="1" t="s">
        <v>953</v>
      </c>
    </row>
    <row r="45" spans="1:34">
      <c r="A45" s="17"/>
      <c r="L45" s="1">
        <v>43</v>
      </c>
      <c r="M45" s="1">
        <v>1000007</v>
      </c>
      <c r="N45" s="1">
        <v>40220996</v>
      </c>
      <c r="O45" s="144">
        <v>44349</v>
      </c>
      <c r="P45" s="145">
        <v>44180.649305555555</v>
      </c>
      <c r="Q45" s="144">
        <v>44799</v>
      </c>
      <c r="R45" s="145">
        <v>44621.883333333331</v>
      </c>
      <c r="S45" s="1"/>
      <c r="T45" s="1">
        <v>32817</v>
      </c>
      <c r="U45" s="1"/>
      <c r="V45" s="1"/>
      <c r="W45" s="1">
        <v>880</v>
      </c>
      <c r="X45" s="1"/>
      <c r="Y45" s="4" t="s">
        <v>955</v>
      </c>
      <c r="Z45" s="1"/>
      <c r="AA45" s="1"/>
      <c r="AB45" s="1">
        <v>8</v>
      </c>
      <c r="AC45" s="1"/>
      <c r="AD45" s="1"/>
      <c r="AE45" s="1" t="s">
        <v>956</v>
      </c>
      <c r="AF45" s="1">
        <v>2022819001</v>
      </c>
      <c r="AG45" s="1" t="s">
        <v>957</v>
      </c>
      <c r="AH45" s="1"/>
    </row>
    <row r="46" spans="1:34">
      <c r="A46" s="17"/>
      <c r="L46" s="1">
        <v>44</v>
      </c>
      <c r="M46" s="1">
        <v>1000007</v>
      </c>
      <c r="N46" s="1">
        <v>40220996</v>
      </c>
      <c r="O46" s="144">
        <v>44349</v>
      </c>
      <c r="P46" s="145">
        <v>44180.649305555555</v>
      </c>
      <c r="Q46" s="144">
        <v>44799</v>
      </c>
      <c r="R46" s="145">
        <v>44621.883333333331</v>
      </c>
      <c r="S46" s="1"/>
      <c r="T46" s="1">
        <v>32817</v>
      </c>
      <c r="U46" s="1"/>
      <c r="V46" s="1"/>
      <c r="W46" s="1">
        <v>880</v>
      </c>
      <c r="X46" s="1"/>
      <c r="Y46" s="4" t="s">
        <v>955</v>
      </c>
      <c r="Z46" s="1"/>
      <c r="AA46" s="1"/>
      <c r="AB46" s="1">
        <v>8</v>
      </c>
      <c r="AC46" s="1"/>
      <c r="AD46" s="1"/>
      <c r="AE46" s="1" t="s">
        <v>956</v>
      </c>
      <c r="AF46" s="1">
        <v>2022819001</v>
      </c>
      <c r="AG46" s="1" t="s">
        <v>957</v>
      </c>
      <c r="AH46" s="1"/>
    </row>
    <row r="47" spans="1:34">
      <c r="A47" s="17"/>
      <c r="L47" s="1">
        <v>45</v>
      </c>
      <c r="M47" s="1">
        <v>1000007</v>
      </c>
      <c r="N47" s="1">
        <v>40220996</v>
      </c>
      <c r="O47" s="144">
        <v>44349</v>
      </c>
      <c r="P47" s="145">
        <v>44180.649305555555</v>
      </c>
      <c r="Q47" s="144">
        <v>44799</v>
      </c>
      <c r="R47" s="145">
        <v>44621.883333333331</v>
      </c>
      <c r="S47" s="1"/>
      <c r="T47" s="1">
        <v>32817</v>
      </c>
      <c r="U47" s="1"/>
      <c r="V47" s="1"/>
      <c r="W47" s="1">
        <v>880</v>
      </c>
      <c r="X47" s="1"/>
      <c r="Y47" s="4" t="s">
        <v>955</v>
      </c>
      <c r="Z47" s="1"/>
      <c r="AA47" s="1"/>
      <c r="AB47" s="1">
        <v>8</v>
      </c>
      <c r="AC47" s="1"/>
      <c r="AD47" s="1"/>
      <c r="AE47" s="1" t="s">
        <v>958</v>
      </c>
      <c r="AF47" s="1">
        <v>2022819001</v>
      </c>
      <c r="AG47" s="1" t="s">
        <v>957</v>
      </c>
      <c r="AH47" s="1"/>
    </row>
    <row r="48" spans="1:34">
      <c r="A48" s="18"/>
      <c r="D48" s="19" t="s">
        <v>200</v>
      </c>
      <c r="L48" s="1">
        <v>46</v>
      </c>
      <c r="M48" s="1">
        <v>1000007</v>
      </c>
      <c r="N48" s="1">
        <v>40220996</v>
      </c>
      <c r="O48" s="144">
        <v>44349</v>
      </c>
      <c r="P48" s="145">
        <v>44180.649305555555</v>
      </c>
      <c r="Q48" s="144">
        <v>44799</v>
      </c>
      <c r="R48" s="145">
        <v>44621.883333333331</v>
      </c>
      <c r="S48" s="1"/>
      <c r="T48" s="1">
        <v>32817</v>
      </c>
      <c r="U48" s="1"/>
      <c r="V48" s="1"/>
      <c r="W48" s="1">
        <v>880</v>
      </c>
      <c r="X48" s="1"/>
      <c r="Y48" s="4" t="s">
        <v>955</v>
      </c>
      <c r="Z48" s="1"/>
      <c r="AA48" s="1"/>
      <c r="AB48" s="1">
        <v>8</v>
      </c>
      <c r="AC48" s="1"/>
      <c r="AD48" s="1"/>
      <c r="AE48" s="1" t="s">
        <v>958</v>
      </c>
      <c r="AF48" s="1">
        <v>2022819001</v>
      </c>
      <c r="AG48" s="1" t="s">
        <v>957</v>
      </c>
      <c r="AH48" s="1"/>
    </row>
    <row r="49" spans="1:34">
      <c r="A49" s="17"/>
      <c r="L49" s="1">
        <v>47</v>
      </c>
      <c r="M49" s="1">
        <v>1000007</v>
      </c>
      <c r="N49" s="1">
        <v>40220996</v>
      </c>
      <c r="O49" s="144">
        <v>44349</v>
      </c>
      <c r="P49" s="145">
        <v>44180.649305555555</v>
      </c>
      <c r="Q49" s="144">
        <v>44799</v>
      </c>
      <c r="R49" s="145">
        <v>44621.883333333331</v>
      </c>
      <c r="S49" s="1"/>
      <c r="T49" s="1">
        <v>32817</v>
      </c>
      <c r="U49" s="1"/>
      <c r="V49" s="1"/>
      <c r="W49" s="1">
        <v>880</v>
      </c>
      <c r="X49" s="1"/>
      <c r="Y49" s="4" t="s">
        <v>955</v>
      </c>
      <c r="Z49" s="1"/>
      <c r="AA49" s="1"/>
      <c r="AB49" s="1">
        <v>8</v>
      </c>
      <c r="AC49" s="1"/>
      <c r="AD49" s="1"/>
      <c r="AE49" s="1" t="s">
        <v>958</v>
      </c>
      <c r="AF49" s="1">
        <v>2022819001</v>
      </c>
      <c r="AG49" s="1" t="s">
        <v>957</v>
      </c>
      <c r="AH49" s="1"/>
    </row>
    <row r="50" spans="1:34">
      <c r="A50" s="17"/>
      <c r="L50" s="1">
        <v>48</v>
      </c>
      <c r="M50" s="1">
        <v>1000007</v>
      </c>
      <c r="N50" s="1">
        <v>46276387</v>
      </c>
      <c r="O50" s="144">
        <v>44574</v>
      </c>
      <c r="P50" s="145">
        <v>45085.23333333333</v>
      </c>
      <c r="Q50" s="144">
        <v>44939</v>
      </c>
      <c r="R50" s="145">
        <v>45366.676388888889</v>
      </c>
      <c r="S50" s="1"/>
      <c r="T50" s="1">
        <v>32817</v>
      </c>
      <c r="U50" s="1"/>
      <c r="V50" s="1"/>
      <c r="W50" s="1">
        <v>3000</v>
      </c>
      <c r="X50" s="1"/>
      <c r="Y50" s="4" t="s">
        <v>959</v>
      </c>
      <c r="Z50" s="1"/>
      <c r="AA50" s="1"/>
      <c r="AB50" s="1">
        <v>4</v>
      </c>
      <c r="AC50" s="1"/>
      <c r="AD50" s="1"/>
      <c r="AE50" s="1" t="s">
        <v>960</v>
      </c>
      <c r="AF50" s="1">
        <v>2021985901</v>
      </c>
      <c r="AG50" s="1" t="s">
        <v>961</v>
      </c>
      <c r="AH50" s="1" t="s">
        <v>962</v>
      </c>
    </row>
    <row r="51" spans="1:34">
      <c r="A51" s="17"/>
      <c r="L51" s="1">
        <v>49</v>
      </c>
      <c r="M51" s="1">
        <v>1000007</v>
      </c>
      <c r="N51" s="1">
        <v>46276387</v>
      </c>
      <c r="O51" s="144">
        <v>44574</v>
      </c>
      <c r="P51" s="145">
        <v>45085.23333333333</v>
      </c>
      <c r="Q51" s="144">
        <v>44939</v>
      </c>
      <c r="R51" s="145">
        <v>45366.676388888889</v>
      </c>
      <c r="S51" s="1"/>
      <c r="T51" s="1">
        <v>32817</v>
      </c>
      <c r="U51" s="1"/>
      <c r="V51" s="1"/>
      <c r="W51" s="1">
        <v>3000</v>
      </c>
      <c r="X51" s="1"/>
      <c r="Y51" s="4" t="s">
        <v>959</v>
      </c>
      <c r="Z51" s="1"/>
      <c r="AA51" s="1"/>
      <c r="AB51" s="1">
        <v>4</v>
      </c>
      <c r="AC51" s="1"/>
      <c r="AD51" s="1"/>
      <c r="AE51" s="1" t="s">
        <v>960</v>
      </c>
      <c r="AF51" s="1">
        <v>2021985901</v>
      </c>
      <c r="AG51" s="1" t="s">
        <v>961</v>
      </c>
      <c r="AH51" s="1" t="s">
        <v>962</v>
      </c>
    </row>
    <row r="52" spans="1:34">
      <c r="A52" s="17"/>
      <c r="L52" s="1">
        <v>50</v>
      </c>
      <c r="M52" s="1">
        <v>1000007</v>
      </c>
      <c r="N52" s="1">
        <v>46276387</v>
      </c>
      <c r="O52" s="144">
        <v>44574</v>
      </c>
      <c r="P52" s="145">
        <v>45085.23333333333</v>
      </c>
      <c r="Q52" s="144">
        <v>44939</v>
      </c>
      <c r="R52" s="145">
        <v>45366.676388888889</v>
      </c>
      <c r="S52" s="1"/>
      <c r="T52" s="1">
        <v>32817</v>
      </c>
      <c r="U52" s="1"/>
      <c r="V52" s="1"/>
      <c r="W52" s="1">
        <v>3000</v>
      </c>
      <c r="X52" s="1"/>
      <c r="Y52" s="4" t="s">
        <v>959</v>
      </c>
      <c r="Z52" s="1"/>
      <c r="AA52" s="1"/>
      <c r="AB52" s="1">
        <v>4</v>
      </c>
      <c r="AC52" s="1"/>
      <c r="AD52" s="1"/>
      <c r="AE52" s="1" t="s">
        <v>963</v>
      </c>
      <c r="AF52" s="1">
        <v>2021985901</v>
      </c>
      <c r="AG52" s="1" t="s">
        <v>961</v>
      </c>
      <c r="AH52" s="1" t="s">
        <v>962</v>
      </c>
    </row>
    <row r="53" spans="1:34">
      <c r="A53" s="17"/>
      <c r="L53" s="1">
        <v>51</v>
      </c>
      <c r="M53" s="1">
        <v>1000007</v>
      </c>
      <c r="N53" s="1">
        <v>46276387</v>
      </c>
      <c r="O53" s="144">
        <v>44574</v>
      </c>
      <c r="P53" s="145">
        <v>45085.23333333333</v>
      </c>
      <c r="Q53" s="144">
        <v>44939</v>
      </c>
      <c r="R53" s="145">
        <v>45366.676388888889</v>
      </c>
      <c r="S53" s="1"/>
      <c r="T53" s="1">
        <v>32817</v>
      </c>
      <c r="U53" s="1"/>
      <c r="V53" s="1"/>
      <c r="W53" s="1">
        <v>3000</v>
      </c>
      <c r="X53" s="1"/>
      <c r="Y53" s="4" t="s">
        <v>959</v>
      </c>
      <c r="Z53" s="1"/>
      <c r="AA53" s="1"/>
      <c r="AB53" s="1">
        <v>4</v>
      </c>
      <c r="AC53" s="1"/>
      <c r="AD53" s="1"/>
      <c r="AE53" s="1" t="s">
        <v>963</v>
      </c>
      <c r="AF53" s="1">
        <v>2021985901</v>
      </c>
      <c r="AG53" s="1" t="s">
        <v>961</v>
      </c>
      <c r="AH53" s="1" t="s">
        <v>962</v>
      </c>
    </row>
    <row r="54" spans="1:34">
      <c r="A54" s="17"/>
      <c r="L54" s="1">
        <v>52</v>
      </c>
      <c r="M54" s="1">
        <v>1000007</v>
      </c>
      <c r="N54" s="1">
        <v>46276387</v>
      </c>
      <c r="O54" s="144">
        <v>44574</v>
      </c>
      <c r="P54" s="145">
        <v>45085.23333333333</v>
      </c>
      <c r="Q54" s="144">
        <v>44939</v>
      </c>
      <c r="R54" s="145">
        <v>45366.676388888889</v>
      </c>
      <c r="S54" s="1"/>
      <c r="T54" s="1">
        <v>32817</v>
      </c>
      <c r="U54" s="1"/>
      <c r="V54" s="1"/>
      <c r="W54" s="1">
        <v>3000</v>
      </c>
      <c r="X54" s="1"/>
      <c r="Y54" s="4" t="s">
        <v>959</v>
      </c>
      <c r="Z54" s="1"/>
      <c r="AA54" s="1"/>
      <c r="AB54" s="1">
        <v>4</v>
      </c>
      <c r="AC54" s="1"/>
      <c r="AD54" s="1"/>
      <c r="AE54" s="1" t="s">
        <v>963</v>
      </c>
      <c r="AF54" s="1">
        <v>2021985901</v>
      </c>
      <c r="AG54" s="1" t="s">
        <v>961</v>
      </c>
      <c r="AH54" s="1" t="s">
        <v>962</v>
      </c>
    </row>
    <row r="55" spans="1:34">
      <c r="L55" s="1">
        <v>53</v>
      </c>
      <c r="M55" s="1">
        <v>1000007</v>
      </c>
      <c r="N55" s="1">
        <v>43188914</v>
      </c>
      <c r="O55" s="144">
        <v>44642</v>
      </c>
      <c r="P55" s="145">
        <v>44252.811111111114</v>
      </c>
      <c r="Q55" s="144">
        <v>45113</v>
      </c>
      <c r="R55" s="145">
        <v>44442.67291666667</v>
      </c>
      <c r="S55" s="1"/>
      <c r="T55" s="1">
        <v>32817</v>
      </c>
      <c r="U55" s="1"/>
      <c r="V55" s="1"/>
      <c r="W55" s="1">
        <v>3900</v>
      </c>
      <c r="X55" s="1"/>
      <c r="Y55" s="4" t="s">
        <v>964</v>
      </c>
      <c r="Z55" s="1"/>
      <c r="AA55" s="1"/>
      <c r="AB55" s="1">
        <v>9</v>
      </c>
      <c r="AC55" s="1"/>
      <c r="AD55" s="1"/>
      <c r="AE55" s="1" t="s">
        <v>965</v>
      </c>
      <c r="AF55" s="1">
        <v>2021757701</v>
      </c>
      <c r="AG55" s="1" t="s">
        <v>952</v>
      </c>
      <c r="AH55" s="1" t="s">
        <v>966</v>
      </c>
    </row>
    <row r="56" spans="1:34">
      <c r="A56" s="19"/>
      <c r="L56" s="1">
        <v>54</v>
      </c>
      <c r="M56" s="1">
        <v>1000007</v>
      </c>
      <c r="N56" s="1">
        <v>43188914</v>
      </c>
      <c r="O56" s="144">
        <v>44642</v>
      </c>
      <c r="P56" s="145">
        <v>44252.811111111114</v>
      </c>
      <c r="Q56" s="144">
        <v>45113</v>
      </c>
      <c r="R56" s="145">
        <v>44442.67291666667</v>
      </c>
      <c r="S56" s="1"/>
      <c r="T56" s="1">
        <v>32817</v>
      </c>
      <c r="U56" s="1"/>
      <c r="V56" s="1"/>
      <c r="W56" s="1">
        <v>3900</v>
      </c>
      <c r="X56" s="1"/>
      <c r="Y56" s="4" t="s">
        <v>964</v>
      </c>
      <c r="Z56" s="1"/>
      <c r="AA56" s="1"/>
      <c r="AB56" s="1">
        <v>9</v>
      </c>
      <c r="AC56" s="1"/>
      <c r="AD56" s="1"/>
      <c r="AE56" s="1" t="s">
        <v>965</v>
      </c>
      <c r="AF56" s="1">
        <v>2021757701</v>
      </c>
      <c r="AG56" s="1" t="s">
        <v>952</v>
      </c>
      <c r="AH56" s="1" t="s">
        <v>966</v>
      </c>
    </row>
    <row r="57" spans="1:34">
      <c r="A57" s="59"/>
      <c r="L57" s="1">
        <v>55</v>
      </c>
      <c r="M57" s="1">
        <v>1000007</v>
      </c>
      <c r="N57" s="1">
        <v>43188914</v>
      </c>
      <c r="O57" s="144">
        <v>44642</v>
      </c>
      <c r="P57" s="145">
        <v>44252.811111111114</v>
      </c>
      <c r="Q57" s="144">
        <v>45113</v>
      </c>
      <c r="R57" s="145">
        <v>44442.67291666667</v>
      </c>
      <c r="S57" s="1"/>
      <c r="T57" s="1">
        <v>32817</v>
      </c>
      <c r="U57" s="1"/>
      <c r="V57" s="1"/>
      <c r="W57" s="1">
        <v>3900</v>
      </c>
      <c r="X57" s="1"/>
      <c r="Y57" s="4" t="s">
        <v>964</v>
      </c>
      <c r="Z57" s="1"/>
      <c r="AA57" s="1"/>
      <c r="AB57" s="1">
        <v>9</v>
      </c>
      <c r="AC57" s="1"/>
      <c r="AD57" s="1"/>
      <c r="AE57" s="1" t="s">
        <v>965</v>
      </c>
      <c r="AF57" s="1">
        <v>2021757701</v>
      </c>
      <c r="AG57" s="1" t="s">
        <v>952</v>
      </c>
      <c r="AH57" s="1" t="s">
        <v>966</v>
      </c>
    </row>
    <row r="58" spans="1:34">
      <c r="A58" s="59"/>
      <c r="L58" s="1">
        <v>56</v>
      </c>
      <c r="M58" s="1">
        <v>1000007</v>
      </c>
      <c r="N58" s="1">
        <v>43188914</v>
      </c>
      <c r="O58" s="144">
        <v>44642</v>
      </c>
      <c r="P58" s="145">
        <v>44252.811111111114</v>
      </c>
      <c r="Q58" s="144">
        <v>45113</v>
      </c>
      <c r="R58" s="145">
        <v>44442.67291666667</v>
      </c>
      <c r="S58" s="1"/>
      <c r="T58" s="1">
        <v>32817</v>
      </c>
      <c r="U58" s="1"/>
      <c r="V58" s="1"/>
      <c r="W58" s="1">
        <v>3900</v>
      </c>
      <c r="X58" s="1"/>
      <c r="Y58" s="4" t="s">
        <v>964</v>
      </c>
      <c r="Z58" s="1"/>
      <c r="AA58" s="1"/>
      <c r="AB58" s="1">
        <v>9</v>
      </c>
      <c r="AC58" s="1"/>
      <c r="AD58" s="1"/>
      <c r="AE58" s="1" t="s">
        <v>967</v>
      </c>
      <c r="AF58" s="1">
        <v>2021757701</v>
      </c>
      <c r="AG58" s="1" t="s">
        <v>952</v>
      </c>
      <c r="AH58" s="1" t="s">
        <v>966</v>
      </c>
    </row>
    <row r="59" spans="1:34">
      <c r="A59" s="59"/>
      <c r="L59" s="1">
        <v>57</v>
      </c>
      <c r="M59" s="1">
        <v>1000007</v>
      </c>
      <c r="N59" s="1">
        <v>43188914</v>
      </c>
      <c r="O59" s="144">
        <v>44642</v>
      </c>
      <c r="P59" s="145">
        <v>44252.811111111114</v>
      </c>
      <c r="Q59" s="144">
        <v>45113</v>
      </c>
      <c r="R59" s="145">
        <v>44442.67291666667</v>
      </c>
      <c r="S59" s="1"/>
      <c r="T59" s="1">
        <v>32817</v>
      </c>
      <c r="U59" s="1"/>
      <c r="V59" s="1"/>
      <c r="W59" s="1">
        <v>3900</v>
      </c>
      <c r="X59" s="1"/>
      <c r="Y59" s="4" t="s">
        <v>964</v>
      </c>
      <c r="Z59" s="1"/>
      <c r="AA59" s="1"/>
      <c r="AB59" s="1">
        <v>9</v>
      </c>
      <c r="AC59" s="1"/>
      <c r="AD59" s="1"/>
      <c r="AE59" s="1" t="s">
        <v>967</v>
      </c>
      <c r="AF59" s="1">
        <v>2021757701</v>
      </c>
      <c r="AG59" s="1" t="s">
        <v>952</v>
      </c>
      <c r="AH59" s="1" t="s">
        <v>966</v>
      </c>
    </row>
    <row r="60" spans="1:34">
      <c r="L60" s="1">
        <v>58</v>
      </c>
      <c r="M60" s="1">
        <v>1000007</v>
      </c>
      <c r="N60" s="1">
        <v>21146085</v>
      </c>
      <c r="O60" s="144">
        <v>44841</v>
      </c>
      <c r="P60" s="145">
        <v>43970.540972222225</v>
      </c>
      <c r="Q60" s="144">
        <v>45210</v>
      </c>
      <c r="R60" s="145">
        <v>44344.682638888888</v>
      </c>
      <c r="S60" s="1"/>
      <c r="T60" s="1">
        <v>32817</v>
      </c>
      <c r="U60" s="1"/>
      <c r="V60" s="1"/>
      <c r="W60" s="1">
        <v>38</v>
      </c>
      <c r="X60" s="1"/>
      <c r="Y60" s="4" t="s">
        <v>968</v>
      </c>
      <c r="Z60" s="1"/>
      <c r="AA60" s="1"/>
      <c r="AB60" s="1">
        <v>2</v>
      </c>
      <c r="AC60" s="1"/>
      <c r="AD60" s="1"/>
      <c r="AE60" s="1" t="s">
        <v>969</v>
      </c>
      <c r="AF60" s="1">
        <v>2020004746</v>
      </c>
      <c r="AG60" s="1" t="s">
        <v>961</v>
      </c>
      <c r="AH60" s="1" t="s">
        <v>970</v>
      </c>
    </row>
    <row r="61" spans="1:34">
      <c r="L61" s="1">
        <v>59</v>
      </c>
      <c r="M61" s="1">
        <v>1000007</v>
      </c>
      <c r="N61" s="1">
        <v>21146085</v>
      </c>
      <c r="O61" s="144">
        <v>44841</v>
      </c>
      <c r="P61" s="145">
        <v>43970.540972222225</v>
      </c>
      <c r="Q61" s="144">
        <v>45210</v>
      </c>
      <c r="R61" s="145">
        <v>44344.682638888888</v>
      </c>
      <c r="S61" s="1"/>
      <c r="T61" s="1">
        <v>32817</v>
      </c>
      <c r="U61" s="1"/>
      <c r="V61" s="1"/>
      <c r="W61" s="1">
        <v>38</v>
      </c>
      <c r="X61" s="1"/>
      <c r="Y61" s="4" t="s">
        <v>968</v>
      </c>
      <c r="Z61" s="1"/>
      <c r="AA61" s="1"/>
      <c r="AB61" s="1">
        <v>2</v>
      </c>
      <c r="AC61" s="1"/>
      <c r="AD61" s="1"/>
      <c r="AE61" s="1" t="s">
        <v>969</v>
      </c>
      <c r="AF61" s="1">
        <v>2020004746</v>
      </c>
      <c r="AG61" s="1" t="s">
        <v>961</v>
      </c>
      <c r="AH61" s="1" t="s">
        <v>970</v>
      </c>
    </row>
    <row r="62" spans="1:34">
      <c r="L62" s="1">
        <v>60</v>
      </c>
      <c r="M62" s="1">
        <v>1000007</v>
      </c>
      <c r="N62" s="1">
        <v>21146085</v>
      </c>
      <c r="O62" s="144">
        <v>44841</v>
      </c>
      <c r="P62" s="145">
        <v>43970.540972222225</v>
      </c>
      <c r="Q62" s="144">
        <v>45210</v>
      </c>
      <c r="R62" s="145">
        <v>44344.682638888888</v>
      </c>
      <c r="S62" s="1"/>
      <c r="T62" s="1">
        <v>32817</v>
      </c>
      <c r="U62" s="1"/>
      <c r="V62" s="1"/>
      <c r="W62" s="1">
        <v>38</v>
      </c>
      <c r="X62" s="1"/>
      <c r="Y62" s="4" t="s">
        <v>968</v>
      </c>
      <c r="Z62" s="1"/>
      <c r="AA62" s="1"/>
      <c r="AB62" s="1">
        <v>2</v>
      </c>
      <c r="AC62" s="1"/>
      <c r="AD62" s="1"/>
      <c r="AE62" s="1" t="s">
        <v>971</v>
      </c>
      <c r="AF62" s="1">
        <v>2020004746</v>
      </c>
      <c r="AG62" s="1" t="s">
        <v>961</v>
      </c>
      <c r="AH62" s="1" t="s">
        <v>970</v>
      </c>
    </row>
    <row r="63" spans="1:34">
      <c r="L63" s="1">
        <v>61</v>
      </c>
      <c r="M63" s="1">
        <v>1000007</v>
      </c>
      <c r="N63" s="1">
        <v>21146085</v>
      </c>
      <c r="O63" s="144">
        <v>44841</v>
      </c>
      <c r="P63" s="145">
        <v>43970.540972222225</v>
      </c>
      <c r="Q63" s="144">
        <v>45210</v>
      </c>
      <c r="R63" s="145">
        <v>44344.682638888888</v>
      </c>
      <c r="S63" s="1"/>
      <c r="T63" s="1">
        <v>32817</v>
      </c>
      <c r="U63" s="1"/>
      <c r="V63" s="1"/>
      <c r="W63" s="1">
        <v>38</v>
      </c>
      <c r="X63" s="1"/>
      <c r="Y63" s="4" t="s">
        <v>968</v>
      </c>
      <c r="Z63" s="1"/>
      <c r="AA63" s="1"/>
      <c r="AB63" s="1">
        <v>2</v>
      </c>
      <c r="AC63" s="1"/>
      <c r="AD63" s="1"/>
      <c r="AE63" s="1" t="s">
        <v>971</v>
      </c>
      <c r="AF63" s="1">
        <v>2020004746</v>
      </c>
      <c r="AG63" s="1" t="s">
        <v>961</v>
      </c>
      <c r="AH63" s="1" t="s">
        <v>970</v>
      </c>
    </row>
    <row r="64" spans="1:34">
      <c r="L64" s="1">
        <v>62</v>
      </c>
      <c r="M64" s="1">
        <v>1000007</v>
      </c>
      <c r="N64" s="1">
        <v>21146085</v>
      </c>
      <c r="O64" s="144">
        <v>44841</v>
      </c>
      <c r="P64" s="145">
        <v>43970.540972222225</v>
      </c>
      <c r="Q64" s="144">
        <v>45210</v>
      </c>
      <c r="R64" s="145">
        <v>44344.682638888888</v>
      </c>
      <c r="S64" s="1"/>
      <c r="T64" s="1">
        <v>32817</v>
      </c>
      <c r="U64" s="1"/>
      <c r="V64" s="1"/>
      <c r="W64" s="1">
        <v>38</v>
      </c>
      <c r="X64" s="1"/>
      <c r="Y64" s="4" t="s">
        <v>968</v>
      </c>
      <c r="Z64" s="1"/>
      <c r="AA64" s="1"/>
      <c r="AB64" s="1">
        <v>2</v>
      </c>
      <c r="AC64" s="1"/>
      <c r="AD64" s="1"/>
      <c r="AE64" s="1" t="s">
        <v>971</v>
      </c>
      <c r="AF64" s="1">
        <v>2020004746</v>
      </c>
      <c r="AG64" s="1" t="s">
        <v>961</v>
      </c>
      <c r="AH64" s="1" t="s">
        <v>970</v>
      </c>
    </row>
    <row r="65" spans="12:34">
      <c r="L65" s="1">
        <v>63</v>
      </c>
      <c r="M65" s="1">
        <v>1000007</v>
      </c>
      <c r="N65" s="1">
        <v>35605468</v>
      </c>
      <c r="O65" s="144">
        <v>45009</v>
      </c>
      <c r="P65" s="145">
        <v>44994.613194444442</v>
      </c>
      <c r="Q65" s="144">
        <v>44371</v>
      </c>
      <c r="R65" s="145">
        <v>44266.863888888889</v>
      </c>
      <c r="S65" s="1"/>
      <c r="T65" s="1">
        <v>32817</v>
      </c>
      <c r="U65" s="1"/>
      <c r="V65" s="1"/>
      <c r="W65" s="1">
        <v>5</v>
      </c>
      <c r="X65" s="1"/>
      <c r="Y65" s="4" t="s">
        <v>972</v>
      </c>
      <c r="Z65" s="1"/>
      <c r="AA65" s="1"/>
      <c r="AB65" s="1">
        <v>1</v>
      </c>
      <c r="AC65" s="1"/>
      <c r="AD65" s="1"/>
      <c r="AE65" s="1" t="s">
        <v>973</v>
      </c>
      <c r="AF65" s="1">
        <v>2021495301</v>
      </c>
      <c r="AG65" s="1" t="s">
        <v>974</v>
      </c>
      <c r="AH65" s="1" t="s">
        <v>919</v>
      </c>
    </row>
    <row r="66" spans="12:34">
      <c r="L66" s="1">
        <v>64</v>
      </c>
      <c r="M66" s="1">
        <v>1000007</v>
      </c>
      <c r="N66" s="1">
        <v>35605468</v>
      </c>
      <c r="O66" s="144">
        <v>45009</v>
      </c>
      <c r="P66" s="145">
        <v>44994.613194444442</v>
      </c>
      <c r="Q66" s="144">
        <v>44371</v>
      </c>
      <c r="R66" s="145">
        <v>44266.863888888889</v>
      </c>
      <c r="S66" s="1"/>
      <c r="T66" s="1">
        <v>32817</v>
      </c>
      <c r="U66" s="1"/>
      <c r="V66" s="1"/>
      <c r="W66" s="1">
        <v>5</v>
      </c>
      <c r="X66" s="1"/>
      <c r="Y66" s="4" t="s">
        <v>972</v>
      </c>
      <c r="Z66" s="1"/>
      <c r="AA66" s="1"/>
      <c r="AB66" s="1">
        <v>1</v>
      </c>
      <c r="AC66" s="1"/>
      <c r="AD66" s="1"/>
      <c r="AE66" s="1" t="s">
        <v>973</v>
      </c>
      <c r="AF66" s="1">
        <v>2021495301</v>
      </c>
      <c r="AG66" s="1" t="s">
        <v>974</v>
      </c>
      <c r="AH66" s="1" t="s">
        <v>919</v>
      </c>
    </row>
    <row r="67" spans="12:34">
      <c r="L67" s="1">
        <v>65</v>
      </c>
      <c r="M67" s="1">
        <v>1000007</v>
      </c>
      <c r="N67" s="1">
        <v>35605468</v>
      </c>
      <c r="O67" s="144">
        <v>45009</v>
      </c>
      <c r="P67" s="145">
        <v>44994.613194444442</v>
      </c>
      <c r="Q67" s="144">
        <v>44371</v>
      </c>
      <c r="R67" s="145">
        <v>44266.863888888889</v>
      </c>
      <c r="S67" s="1"/>
      <c r="T67" s="1">
        <v>32817</v>
      </c>
      <c r="U67" s="1"/>
      <c r="V67" s="1"/>
      <c r="W67" s="1">
        <v>5</v>
      </c>
      <c r="X67" s="1"/>
      <c r="Y67" s="4" t="s">
        <v>972</v>
      </c>
      <c r="Z67" s="1"/>
      <c r="AA67" s="1"/>
      <c r="AB67" s="1">
        <v>1</v>
      </c>
      <c r="AC67" s="1"/>
      <c r="AD67" s="1"/>
      <c r="AE67" s="1" t="s">
        <v>973</v>
      </c>
      <c r="AF67" s="1">
        <v>2021495301</v>
      </c>
      <c r="AG67" s="1" t="s">
        <v>974</v>
      </c>
      <c r="AH67" s="1" t="s">
        <v>919</v>
      </c>
    </row>
    <row r="68" spans="12:34">
      <c r="L68" s="1">
        <v>66</v>
      </c>
      <c r="M68" s="1">
        <v>1000007</v>
      </c>
      <c r="N68" s="1">
        <v>35605468</v>
      </c>
      <c r="O68" s="144">
        <v>45009</v>
      </c>
      <c r="P68" s="145">
        <v>44994.613194444442</v>
      </c>
      <c r="Q68" s="144">
        <v>44371</v>
      </c>
      <c r="R68" s="145">
        <v>44266.863888888889</v>
      </c>
      <c r="S68" s="1"/>
      <c r="T68" s="1">
        <v>32817</v>
      </c>
      <c r="U68" s="1"/>
      <c r="V68" s="1"/>
      <c r="W68" s="1">
        <v>5</v>
      </c>
      <c r="X68" s="1"/>
      <c r="Y68" s="4" t="s">
        <v>972</v>
      </c>
      <c r="Z68" s="1"/>
      <c r="AA68" s="1"/>
      <c r="AB68" s="1">
        <v>1</v>
      </c>
      <c r="AC68" s="1"/>
      <c r="AD68" s="1"/>
      <c r="AE68" s="1" t="s">
        <v>975</v>
      </c>
      <c r="AF68" s="1">
        <v>2021495301</v>
      </c>
      <c r="AG68" s="1" t="s">
        <v>974</v>
      </c>
      <c r="AH68" s="1" t="s">
        <v>919</v>
      </c>
    </row>
    <row r="69" spans="12:34">
      <c r="L69" s="1">
        <v>67</v>
      </c>
      <c r="M69" s="1">
        <v>1000007</v>
      </c>
      <c r="N69" s="1">
        <v>35605468</v>
      </c>
      <c r="O69" s="144">
        <v>45009</v>
      </c>
      <c r="P69" s="145">
        <v>44994.613194444442</v>
      </c>
      <c r="Q69" s="144">
        <v>44371</v>
      </c>
      <c r="R69" s="145">
        <v>44266.863888888889</v>
      </c>
      <c r="S69" s="1"/>
      <c r="T69" s="1">
        <v>32817</v>
      </c>
      <c r="U69" s="1"/>
      <c r="V69" s="1"/>
      <c r="W69" s="1">
        <v>5</v>
      </c>
      <c r="X69" s="1"/>
      <c r="Y69" s="4" t="s">
        <v>972</v>
      </c>
      <c r="Z69" s="1"/>
      <c r="AA69" s="1"/>
      <c r="AB69" s="1">
        <v>1</v>
      </c>
      <c r="AC69" s="1"/>
      <c r="AD69" s="1"/>
      <c r="AE69" s="1" t="s">
        <v>975</v>
      </c>
      <c r="AF69" s="1">
        <v>2021495301</v>
      </c>
      <c r="AG69" s="1" t="s">
        <v>974</v>
      </c>
      <c r="AH69" s="1" t="s">
        <v>919</v>
      </c>
    </row>
    <row r="70" spans="12:34">
      <c r="L70" s="1">
        <v>68</v>
      </c>
      <c r="M70" s="1">
        <v>1000007</v>
      </c>
      <c r="N70" s="1">
        <v>35144059</v>
      </c>
      <c r="O70" s="144">
        <v>45065</v>
      </c>
      <c r="P70" s="145">
        <v>44889.395138888889</v>
      </c>
      <c r="Q70" s="144">
        <v>44049</v>
      </c>
      <c r="R70" s="145">
        <v>43935.275000000001</v>
      </c>
      <c r="S70" s="1"/>
      <c r="T70" s="1">
        <v>32817</v>
      </c>
      <c r="U70" s="1"/>
      <c r="V70" s="1"/>
      <c r="W70" s="1">
        <v>7.5</v>
      </c>
      <c r="X70" s="1"/>
      <c r="Y70" s="4" t="s">
        <v>976</v>
      </c>
      <c r="Z70" s="1"/>
      <c r="AA70" s="1"/>
      <c r="AB70" s="1">
        <v>11</v>
      </c>
      <c r="AC70" s="1"/>
      <c r="AD70" s="1"/>
      <c r="AE70" s="1" t="s">
        <v>977</v>
      </c>
      <c r="AF70" s="1">
        <v>2042490022</v>
      </c>
      <c r="AG70" s="1" t="s">
        <v>978</v>
      </c>
      <c r="AH70" s="1"/>
    </row>
    <row r="71" spans="12:34">
      <c r="L71" s="1">
        <v>69</v>
      </c>
      <c r="M71" s="1">
        <v>1000007</v>
      </c>
      <c r="N71" s="1">
        <v>35144059</v>
      </c>
      <c r="O71" s="144">
        <v>45065</v>
      </c>
      <c r="P71" s="145">
        <v>44889.395138888889</v>
      </c>
      <c r="Q71" s="144">
        <v>44049</v>
      </c>
      <c r="R71" s="145">
        <v>43935.275000000001</v>
      </c>
      <c r="S71" s="1"/>
      <c r="T71" s="1">
        <v>32817</v>
      </c>
      <c r="U71" s="1"/>
      <c r="V71" s="1"/>
      <c r="W71" s="1">
        <v>7.5</v>
      </c>
      <c r="X71" s="1"/>
      <c r="Y71" s="4" t="s">
        <v>976</v>
      </c>
      <c r="Z71" s="1"/>
      <c r="AA71" s="1"/>
      <c r="AB71" s="1">
        <v>11</v>
      </c>
      <c r="AC71" s="1"/>
      <c r="AD71" s="1"/>
      <c r="AE71" s="1" t="s">
        <v>977</v>
      </c>
      <c r="AF71" s="1">
        <v>2042490022</v>
      </c>
      <c r="AG71" s="1" t="s">
        <v>978</v>
      </c>
      <c r="AH71" s="1"/>
    </row>
    <row r="72" spans="12:34">
      <c r="L72" s="1">
        <v>70</v>
      </c>
      <c r="M72" s="1">
        <v>1000007</v>
      </c>
      <c r="N72" s="1">
        <v>35144059</v>
      </c>
      <c r="O72" s="144">
        <v>45065</v>
      </c>
      <c r="P72" s="145">
        <v>44889.395138888889</v>
      </c>
      <c r="Q72" s="144">
        <v>44049</v>
      </c>
      <c r="R72" s="145">
        <v>43935.275000000001</v>
      </c>
      <c r="S72" s="1"/>
      <c r="T72" s="1">
        <v>32817</v>
      </c>
      <c r="U72" s="1"/>
      <c r="V72" s="1"/>
      <c r="W72" s="1">
        <v>7.5</v>
      </c>
      <c r="X72" s="1"/>
      <c r="Y72" s="4" t="s">
        <v>976</v>
      </c>
      <c r="Z72" s="1"/>
      <c r="AA72" s="1"/>
      <c r="AB72" s="1">
        <v>11</v>
      </c>
      <c r="AC72" s="1"/>
      <c r="AD72" s="1"/>
      <c r="AE72" s="1" t="s">
        <v>979</v>
      </c>
      <c r="AF72" s="1">
        <v>2042490022</v>
      </c>
      <c r="AG72" s="1" t="s">
        <v>978</v>
      </c>
      <c r="AH72" s="1"/>
    </row>
    <row r="73" spans="12:34">
      <c r="L73" s="1">
        <v>71</v>
      </c>
      <c r="M73" s="1">
        <v>1000007</v>
      </c>
      <c r="N73" s="1">
        <v>35144059</v>
      </c>
      <c r="O73" s="144">
        <v>45065</v>
      </c>
      <c r="P73" s="145">
        <v>44889.395138888889</v>
      </c>
      <c r="Q73" s="144">
        <v>44049</v>
      </c>
      <c r="R73" s="145">
        <v>43935.275000000001</v>
      </c>
      <c r="S73" s="1"/>
      <c r="T73" s="1">
        <v>32817</v>
      </c>
      <c r="U73" s="1"/>
      <c r="V73" s="1"/>
      <c r="W73" s="1">
        <v>7.5</v>
      </c>
      <c r="X73" s="1"/>
      <c r="Y73" s="4" t="s">
        <v>976</v>
      </c>
      <c r="Z73" s="1"/>
      <c r="AA73" s="1"/>
      <c r="AB73" s="1">
        <v>11</v>
      </c>
      <c r="AC73" s="1"/>
      <c r="AD73" s="1"/>
      <c r="AE73" s="1" t="s">
        <v>979</v>
      </c>
      <c r="AF73" s="1">
        <v>2042490022</v>
      </c>
      <c r="AG73" s="1" t="s">
        <v>978</v>
      </c>
      <c r="AH73" s="1"/>
    </row>
    <row r="74" spans="12:34">
      <c r="L74" s="1">
        <v>72</v>
      </c>
      <c r="M74" s="1">
        <v>1000007</v>
      </c>
      <c r="N74" s="1">
        <v>35144059</v>
      </c>
      <c r="O74" s="144">
        <v>45065</v>
      </c>
      <c r="P74" s="145">
        <v>44889.395138888889</v>
      </c>
      <c r="Q74" s="144">
        <v>44049</v>
      </c>
      <c r="R74" s="145">
        <v>43935.275000000001</v>
      </c>
      <c r="S74" s="1"/>
      <c r="T74" s="1">
        <v>32817</v>
      </c>
      <c r="U74" s="1"/>
      <c r="V74" s="1"/>
      <c r="W74" s="1">
        <v>7.5</v>
      </c>
      <c r="X74" s="1"/>
      <c r="Y74" s="4" t="s">
        <v>976</v>
      </c>
      <c r="Z74" s="1"/>
      <c r="AA74" s="1"/>
      <c r="AB74" s="1">
        <v>11</v>
      </c>
      <c r="AC74" s="1"/>
      <c r="AD74" s="1"/>
      <c r="AE74" s="1" t="s">
        <v>979</v>
      </c>
      <c r="AF74" s="1">
        <v>2042490022</v>
      </c>
      <c r="AG74" s="1" t="s">
        <v>978</v>
      </c>
      <c r="AH74" s="1"/>
    </row>
    <row r="75" spans="12:34">
      <c r="L75" s="1">
        <v>73</v>
      </c>
      <c r="M75" s="1">
        <v>1000007</v>
      </c>
      <c r="N75" s="1">
        <v>21172431</v>
      </c>
      <c r="O75" s="144">
        <v>45313</v>
      </c>
      <c r="P75" s="145">
        <v>44302.731944444444</v>
      </c>
      <c r="Q75" s="144">
        <v>44771</v>
      </c>
      <c r="R75" s="145">
        <v>44180.38958333333</v>
      </c>
      <c r="S75" s="1"/>
      <c r="T75" s="1">
        <v>32817</v>
      </c>
      <c r="U75" s="1"/>
      <c r="V75" s="1"/>
      <c r="W75" s="1">
        <v>4200</v>
      </c>
      <c r="X75" s="1"/>
      <c r="Y75" s="4" t="s">
        <v>980</v>
      </c>
      <c r="Z75" s="1"/>
      <c r="AA75" s="1"/>
      <c r="AB75" s="1">
        <v>11</v>
      </c>
      <c r="AC75" s="1"/>
      <c r="AD75" s="1"/>
      <c r="AE75" s="1" t="s">
        <v>981</v>
      </c>
      <c r="AF75" s="1">
        <v>2020003750</v>
      </c>
      <c r="AG75" s="1" t="s">
        <v>982</v>
      </c>
      <c r="AH75" s="1" t="s">
        <v>983</v>
      </c>
    </row>
    <row r="76" spans="12:34">
      <c r="L76" s="1">
        <v>74</v>
      </c>
      <c r="M76" s="1">
        <v>1000007</v>
      </c>
      <c r="N76" s="1">
        <v>21172431</v>
      </c>
      <c r="O76" s="144">
        <v>45313</v>
      </c>
      <c r="P76" s="145">
        <v>44302.731944444444</v>
      </c>
      <c r="Q76" s="144">
        <v>44771</v>
      </c>
      <c r="R76" s="145">
        <v>44180.38958333333</v>
      </c>
      <c r="S76" s="1"/>
      <c r="T76" s="1">
        <v>32817</v>
      </c>
      <c r="U76" s="1"/>
      <c r="V76" s="1"/>
      <c r="W76" s="1">
        <v>4200</v>
      </c>
      <c r="X76" s="1"/>
      <c r="Y76" s="4" t="s">
        <v>980</v>
      </c>
      <c r="Z76" s="1"/>
      <c r="AA76" s="1"/>
      <c r="AB76" s="1">
        <v>11</v>
      </c>
      <c r="AC76" s="1"/>
      <c r="AD76" s="1"/>
      <c r="AE76" s="1" t="s">
        <v>981</v>
      </c>
      <c r="AF76" s="1">
        <v>2020003750</v>
      </c>
      <c r="AG76" s="1" t="s">
        <v>982</v>
      </c>
      <c r="AH76" s="1" t="s">
        <v>983</v>
      </c>
    </row>
    <row r="77" spans="12:34">
      <c r="L77" s="1">
        <v>75</v>
      </c>
      <c r="M77" s="1">
        <v>1000007</v>
      </c>
      <c r="N77" s="1">
        <v>21172431</v>
      </c>
      <c r="O77" s="144">
        <v>45313</v>
      </c>
      <c r="P77" s="145">
        <v>44302.731944444444</v>
      </c>
      <c r="Q77" s="144">
        <v>44771</v>
      </c>
      <c r="R77" s="145">
        <v>44180.38958333333</v>
      </c>
      <c r="S77" s="1"/>
      <c r="T77" s="1">
        <v>32817</v>
      </c>
      <c r="U77" s="1"/>
      <c r="V77" s="1"/>
      <c r="W77" s="1">
        <v>4200</v>
      </c>
      <c r="X77" s="1"/>
      <c r="Y77" s="4" t="s">
        <v>980</v>
      </c>
      <c r="Z77" s="1"/>
      <c r="AA77" s="1"/>
      <c r="AB77" s="1">
        <v>11</v>
      </c>
      <c r="AC77" s="1"/>
      <c r="AD77" s="1"/>
      <c r="AE77" s="1" t="s">
        <v>981</v>
      </c>
      <c r="AF77" s="1">
        <v>2020003750</v>
      </c>
      <c r="AG77" s="1" t="s">
        <v>982</v>
      </c>
      <c r="AH77" s="1" t="s">
        <v>983</v>
      </c>
    </row>
    <row r="78" spans="12:34">
      <c r="L78" s="1">
        <v>76</v>
      </c>
      <c r="M78" s="1">
        <v>1000007</v>
      </c>
      <c r="N78" s="1">
        <v>21172431</v>
      </c>
      <c r="O78" s="144">
        <v>45313</v>
      </c>
      <c r="P78" s="145">
        <v>44302.731944444444</v>
      </c>
      <c r="Q78" s="144">
        <v>44771</v>
      </c>
      <c r="R78" s="145">
        <v>44180.38958333333</v>
      </c>
      <c r="S78" s="1"/>
      <c r="T78" s="1">
        <v>32817</v>
      </c>
      <c r="U78" s="1"/>
      <c r="V78" s="1"/>
      <c r="W78" s="1">
        <v>4200</v>
      </c>
      <c r="X78" s="1"/>
      <c r="Y78" s="4" t="s">
        <v>980</v>
      </c>
      <c r="Z78" s="1"/>
      <c r="AA78" s="1"/>
      <c r="AB78" s="1">
        <v>11</v>
      </c>
      <c r="AC78" s="1"/>
      <c r="AD78" s="1"/>
      <c r="AE78" s="1" t="s">
        <v>984</v>
      </c>
      <c r="AF78" s="1">
        <v>2020003750</v>
      </c>
      <c r="AG78" s="1" t="s">
        <v>982</v>
      </c>
      <c r="AH78" s="1" t="s">
        <v>983</v>
      </c>
    </row>
    <row r="79" spans="12:34">
      <c r="L79" s="1">
        <v>77</v>
      </c>
      <c r="M79" s="1">
        <v>1000007</v>
      </c>
      <c r="N79" s="1">
        <v>21172431</v>
      </c>
      <c r="O79" s="144">
        <v>45313</v>
      </c>
      <c r="P79" s="145">
        <v>44302.731944444444</v>
      </c>
      <c r="Q79" s="144">
        <v>44771</v>
      </c>
      <c r="R79" s="145">
        <v>44180.38958333333</v>
      </c>
      <c r="S79" s="1"/>
      <c r="T79" s="1">
        <v>32817</v>
      </c>
      <c r="U79" s="1"/>
      <c r="V79" s="1"/>
      <c r="W79" s="1">
        <v>4200</v>
      </c>
      <c r="X79" s="1"/>
      <c r="Y79" s="4" t="s">
        <v>980</v>
      </c>
      <c r="Z79" s="1"/>
      <c r="AA79" s="1"/>
      <c r="AB79" s="1">
        <v>11</v>
      </c>
      <c r="AC79" s="1"/>
      <c r="AD79" s="1"/>
      <c r="AE79" s="1" t="s">
        <v>984</v>
      </c>
      <c r="AF79" s="1">
        <v>2020003750</v>
      </c>
      <c r="AG79" s="1" t="s">
        <v>982</v>
      </c>
      <c r="AH79" s="1" t="s">
        <v>983</v>
      </c>
    </row>
    <row r="80" spans="12:34">
      <c r="L80" s="1">
        <v>78</v>
      </c>
      <c r="M80" s="1">
        <v>1000007</v>
      </c>
      <c r="N80" s="1">
        <v>46275601</v>
      </c>
      <c r="O80" s="144">
        <v>45315</v>
      </c>
      <c r="P80" s="145">
        <v>45364.804861111108</v>
      </c>
      <c r="Q80" s="144">
        <v>44363</v>
      </c>
      <c r="R80" s="145">
        <v>44624.492361111108</v>
      </c>
      <c r="S80" s="1"/>
      <c r="T80" s="1">
        <v>32817</v>
      </c>
      <c r="U80" s="1"/>
      <c r="V80" s="1"/>
      <c r="W80" s="1">
        <v>6.5999999046325701</v>
      </c>
      <c r="X80" s="1"/>
      <c r="Y80" s="4" t="s">
        <v>985</v>
      </c>
      <c r="Z80" s="1"/>
      <c r="AA80" s="1"/>
      <c r="AB80" s="1">
        <v>2</v>
      </c>
      <c r="AC80" s="1"/>
      <c r="AD80" s="1"/>
      <c r="AE80" s="1" t="s">
        <v>986</v>
      </c>
      <c r="AF80" s="1">
        <v>2020007515</v>
      </c>
      <c r="AG80" s="1" t="s">
        <v>987</v>
      </c>
      <c r="AH80" s="1" t="s">
        <v>988</v>
      </c>
    </row>
    <row r="81" spans="12:34">
      <c r="L81" s="1">
        <v>79</v>
      </c>
      <c r="M81" s="1">
        <v>1000007</v>
      </c>
      <c r="N81" s="1">
        <v>46275601</v>
      </c>
      <c r="O81" s="144">
        <v>45315</v>
      </c>
      <c r="P81" s="145">
        <v>45364.804861111108</v>
      </c>
      <c r="Q81" s="144">
        <v>44363</v>
      </c>
      <c r="R81" s="145">
        <v>44624.492361111108</v>
      </c>
      <c r="S81" s="1"/>
      <c r="T81" s="1">
        <v>32817</v>
      </c>
      <c r="U81" s="1"/>
      <c r="V81" s="1"/>
      <c r="W81" s="1">
        <v>6.5999999046325701</v>
      </c>
      <c r="X81" s="1"/>
      <c r="Y81" s="4" t="s">
        <v>985</v>
      </c>
      <c r="Z81" s="1"/>
      <c r="AA81" s="1"/>
      <c r="AB81" s="1">
        <v>2</v>
      </c>
      <c r="AC81" s="1"/>
      <c r="AD81" s="1"/>
      <c r="AE81" s="1" t="s">
        <v>986</v>
      </c>
      <c r="AF81" s="1">
        <v>2020007515</v>
      </c>
      <c r="AG81" s="1" t="s">
        <v>987</v>
      </c>
      <c r="AH81" s="1" t="s">
        <v>988</v>
      </c>
    </row>
    <row r="82" spans="12:34">
      <c r="L82" s="1">
        <v>80</v>
      </c>
      <c r="M82" s="1">
        <v>1000007</v>
      </c>
      <c r="N82" s="1">
        <v>46275601</v>
      </c>
      <c r="O82" s="144">
        <v>45315</v>
      </c>
      <c r="P82" s="145">
        <v>45364.804861111108</v>
      </c>
      <c r="Q82" s="144">
        <v>44363</v>
      </c>
      <c r="R82" s="145">
        <v>44624.492361111108</v>
      </c>
      <c r="S82" s="1"/>
      <c r="T82" s="1">
        <v>32817</v>
      </c>
      <c r="U82" s="1"/>
      <c r="V82" s="1"/>
      <c r="W82" s="1">
        <v>6.5999999046325701</v>
      </c>
      <c r="X82" s="1"/>
      <c r="Y82" s="4" t="s">
        <v>985</v>
      </c>
      <c r="Z82" s="1"/>
      <c r="AA82" s="1"/>
      <c r="AB82" s="1">
        <v>2</v>
      </c>
      <c r="AC82" s="1"/>
      <c r="AD82" s="1"/>
      <c r="AE82" s="1" t="s">
        <v>986</v>
      </c>
      <c r="AF82" s="1">
        <v>2020007515</v>
      </c>
      <c r="AG82" s="1" t="s">
        <v>987</v>
      </c>
      <c r="AH82" s="1" t="s">
        <v>988</v>
      </c>
    </row>
    <row r="83" spans="12:34">
      <c r="L83" s="1">
        <v>81</v>
      </c>
      <c r="M83" s="1">
        <v>1000007</v>
      </c>
      <c r="N83" s="1">
        <v>46275601</v>
      </c>
      <c r="O83" s="144">
        <v>45315</v>
      </c>
      <c r="P83" s="145">
        <v>45364.804861111108</v>
      </c>
      <c r="Q83" s="144">
        <v>44363</v>
      </c>
      <c r="R83" s="145">
        <v>44624.492361111108</v>
      </c>
      <c r="S83" s="1"/>
      <c r="T83" s="1">
        <v>32817</v>
      </c>
      <c r="U83" s="1"/>
      <c r="V83" s="1"/>
      <c r="W83" s="1">
        <v>6.5999999046325701</v>
      </c>
      <c r="X83" s="1"/>
      <c r="Y83" s="4" t="s">
        <v>985</v>
      </c>
      <c r="Z83" s="1"/>
      <c r="AA83" s="1"/>
      <c r="AB83" s="1">
        <v>2</v>
      </c>
      <c r="AC83" s="1"/>
      <c r="AD83" s="1"/>
      <c r="AE83" s="1" t="s">
        <v>989</v>
      </c>
      <c r="AF83" s="1">
        <v>2020007515</v>
      </c>
      <c r="AG83" s="1" t="s">
        <v>987</v>
      </c>
      <c r="AH83" s="1" t="s">
        <v>988</v>
      </c>
    </row>
    <row r="84" spans="12:34">
      <c r="L84" s="1">
        <v>82</v>
      </c>
      <c r="M84" s="1">
        <v>1000007</v>
      </c>
      <c r="N84" s="1">
        <v>46275601</v>
      </c>
      <c r="O84" s="144">
        <v>45315</v>
      </c>
      <c r="P84" s="145">
        <v>45364.804861111108</v>
      </c>
      <c r="Q84" s="144">
        <v>44363</v>
      </c>
      <c r="R84" s="145">
        <v>44624.492361111108</v>
      </c>
      <c r="S84" s="1"/>
      <c r="T84" s="1">
        <v>32817</v>
      </c>
      <c r="U84" s="1"/>
      <c r="V84" s="1"/>
      <c r="W84" s="1">
        <v>6.5999999046325701</v>
      </c>
      <c r="X84" s="1"/>
      <c r="Y84" s="4" t="s">
        <v>985</v>
      </c>
      <c r="Z84" s="1"/>
      <c r="AA84" s="1"/>
      <c r="AB84" s="1">
        <v>2</v>
      </c>
      <c r="AC84" s="1"/>
      <c r="AD84" s="1"/>
      <c r="AE84" s="1" t="s">
        <v>989</v>
      </c>
      <c r="AF84" s="1">
        <v>2020007515</v>
      </c>
      <c r="AG84" s="1" t="s">
        <v>987</v>
      </c>
      <c r="AH84" s="1" t="s">
        <v>988</v>
      </c>
    </row>
    <row r="85" spans="12:34" ht="37.5">
      <c r="L85" s="1">
        <v>83</v>
      </c>
      <c r="M85" s="1">
        <v>1000009</v>
      </c>
      <c r="N85" s="1">
        <v>43030590</v>
      </c>
      <c r="O85" s="144">
        <v>44013</v>
      </c>
      <c r="P85" s="145">
        <v>45121.504861111112</v>
      </c>
      <c r="Q85" s="144">
        <v>45236</v>
      </c>
      <c r="R85" s="145">
        <v>44176.921527777777</v>
      </c>
      <c r="S85" s="1"/>
      <c r="T85" s="1">
        <v>32817</v>
      </c>
      <c r="U85" s="1"/>
      <c r="V85" s="1"/>
      <c r="W85" s="1">
        <v>37</v>
      </c>
      <c r="X85" s="1"/>
      <c r="Y85" s="4" t="s">
        <v>990</v>
      </c>
      <c r="Z85" s="1"/>
      <c r="AA85" s="1"/>
      <c r="AB85" s="1">
        <v>8</v>
      </c>
      <c r="AC85" s="1"/>
      <c r="AD85" s="1"/>
      <c r="AE85" s="1" t="s">
        <v>991</v>
      </c>
      <c r="AF85" s="1">
        <v>2022504801</v>
      </c>
      <c r="AG85" s="1" t="s">
        <v>992</v>
      </c>
      <c r="AH85" s="1" t="s">
        <v>993</v>
      </c>
    </row>
    <row r="86" spans="12:34" ht="37.5">
      <c r="L86" s="1">
        <v>84</v>
      </c>
      <c r="M86" s="1">
        <v>1000009</v>
      </c>
      <c r="N86" s="1">
        <v>43030590</v>
      </c>
      <c r="O86" s="144">
        <v>44013</v>
      </c>
      <c r="P86" s="145">
        <v>45121.504861111112</v>
      </c>
      <c r="Q86" s="144">
        <v>45236</v>
      </c>
      <c r="R86" s="145">
        <v>44176.921527777777</v>
      </c>
      <c r="S86" s="1"/>
      <c r="T86" s="1">
        <v>32817</v>
      </c>
      <c r="U86" s="1"/>
      <c r="V86" s="1"/>
      <c r="W86" s="1">
        <v>37</v>
      </c>
      <c r="X86" s="1"/>
      <c r="Y86" s="4" t="s">
        <v>990</v>
      </c>
      <c r="Z86" s="1"/>
      <c r="AA86" s="1"/>
      <c r="AB86" s="1">
        <v>8</v>
      </c>
      <c r="AC86" s="1"/>
      <c r="AD86" s="1"/>
      <c r="AE86" s="1" t="s">
        <v>991</v>
      </c>
      <c r="AF86" s="1">
        <v>2022504801</v>
      </c>
      <c r="AG86" s="1" t="s">
        <v>992</v>
      </c>
      <c r="AH86" s="1" t="s">
        <v>993</v>
      </c>
    </row>
    <row r="87" spans="12:34" ht="37.5">
      <c r="L87" s="1">
        <v>85</v>
      </c>
      <c r="M87" s="1">
        <v>1000009</v>
      </c>
      <c r="N87" s="1">
        <v>43030590</v>
      </c>
      <c r="O87" s="144">
        <v>44013</v>
      </c>
      <c r="P87" s="145">
        <v>45121.504861111112</v>
      </c>
      <c r="Q87" s="144">
        <v>45236</v>
      </c>
      <c r="R87" s="145">
        <v>44176.921527777777</v>
      </c>
      <c r="S87" s="1"/>
      <c r="T87" s="1">
        <v>32817</v>
      </c>
      <c r="U87" s="1"/>
      <c r="V87" s="1"/>
      <c r="W87" s="1">
        <v>37</v>
      </c>
      <c r="X87" s="1"/>
      <c r="Y87" s="4" t="s">
        <v>990</v>
      </c>
      <c r="Z87" s="1"/>
      <c r="AA87" s="1"/>
      <c r="AB87" s="1">
        <v>8</v>
      </c>
      <c r="AC87" s="1"/>
      <c r="AD87" s="1"/>
      <c r="AE87" s="1" t="s">
        <v>994</v>
      </c>
      <c r="AF87" s="1">
        <v>2022504801</v>
      </c>
      <c r="AG87" s="1" t="s">
        <v>992</v>
      </c>
      <c r="AH87" s="1" t="s">
        <v>993</v>
      </c>
    </row>
    <row r="88" spans="12:34" ht="37.5">
      <c r="L88" s="1">
        <v>86</v>
      </c>
      <c r="M88" s="1">
        <v>1000009</v>
      </c>
      <c r="N88" s="1">
        <v>43030590</v>
      </c>
      <c r="O88" s="144">
        <v>44013</v>
      </c>
      <c r="P88" s="145">
        <v>45121.504861111112</v>
      </c>
      <c r="Q88" s="144">
        <v>45236</v>
      </c>
      <c r="R88" s="145">
        <v>44176.921527777777</v>
      </c>
      <c r="S88" s="1"/>
      <c r="T88" s="1">
        <v>32817</v>
      </c>
      <c r="U88" s="1"/>
      <c r="V88" s="1"/>
      <c r="W88" s="1">
        <v>37</v>
      </c>
      <c r="X88" s="1"/>
      <c r="Y88" s="4" t="s">
        <v>990</v>
      </c>
      <c r="Z88" s="1"/>
      <c r="AA88" s="1"/>
      <c r="AB88" s="1">
        <v>8</v>
      </c>
      <c r="AC88" s="1"/>
      <c r="AD88" s="1"/>
      <c r="AE88" s="1" t="s">
        <v>994</v>
      </c>
      <c r="AF88" s="1">
        <v>2022504801</v>
      </c>
      <c r="AG88" s="1" t="s">
        <v>992</v>
      </c>
      <c r="AH88" s="1" t="s">
        <v>993</v>
      </c>
    </row>
    <row r="89" spans="12:34" ht="37.5">
      <c r="L89" s="1">
        <v>87</v>
      </c>
      <c r="M89" s="1">
        <v>1000009</v>
      </c>
      <c r="N89" s="1">
        <v>43030590</v>
      </c>
      <c r="O89" s="144">
        <v>44013</v>
      </c>
      <c r="P89" s="145">
        <v>45121.504861111112</v>
      </c>
      <c r="Q89" s="144">
        <v>45236</v>
      </c>
      <c r="R89" s="145">
        <v>44176.921527777777</v>
      </c>
      <c r="S89" s="1"/>
      <c r="T89" s="1">
        <v>32817</v>
      </c>
      <c r="U89" s="1"/>
      <c r="V89" s="1"/>
      <c r="W89" s="1">
        <v>37</v>
      </c>
      <c r="X89" s="1"/>
      <c r="Y89" s="4" t="s">
        <v>990</v>
      </c>
      <c r="Z89" s="1"/>
      <c r="AA89" s="1"/>
      <c r="AB89" s="1">
        <v>8</v>
      </c>
      <c r="AC89" s="1"/>
      <c r="AD89" s="1"/>
      <c r="AE89" s="1" t="s">
        <v>994</v>
      </c>
      <c r="AF89" s="1">
        <v>2022504801</v>
      </c>
      <c r="AG89" s="1" t="s">
        <v>992</v>
      </c>
      <c r="AH89" s="1" t="s">
        <v>993</v>
      </c>
    </row>
    <row r="90" spans="12:34">
      <c r="L90" s="1">
        <v>88</v>
      </c>
      <c r="M90" s="1">
        <v>1000009</v>
      </c>
      <c r="N90" s="1">
        <v>35155319</v>
      </c>
      <c r="O90" s="144">
        <v>44099</v>
      </c>
      <c r="P90" s="145">
        <v>44078.696527777778</v>
      </c>
      <c r="Q90" s="144">
        <v>44771</v>
      </c>
      <c r="R90" s="145">
        <v>44543.959722222222</v>
      </c>
      <c r="S90" s="1"/>
      <c r="T90" s="1">
        <v>32817</v>
      </c>
      <c r="U90" s="1"/>
      <c r="V90" s="1"/>
      <c r="W90" s="1">
        <v>3250</v>
      </c>
      <c r="X90" s="1"/>
      <c r="Y90" s="4" t="s">
        <v>995</v>
      </c>
      <c r="Z90" s="1"/>
      <c r="AA90" s="1"/>
      <c r="AB90" s="1">
        <v>2</v>
      </c>
      <c r="AC90" s="1"/>
      <c r="AD90" s="1"/>
      <c r="AE90" s="1" t="s">
        <v>996</v>
      </c>
      <c r="AF90" s="1">
        <v>2022870201</v>
      </c>
      <c r="AG90" s="1" t="s">
        <v>997</v>
      </c>
      <c r="AH90" s="1" t="s">
        <v>998</v>
      </c>
    </row>
    <row r="91" spans="12:34">
      <c r="L91" s="1">
        <v>89</v>
      </c>
      <c r="M91" s="1">
        <v>1000009</v>
      </c>
      <c r="N91" s="1">
        <v>35155319</v>
      </c>
      <c r="O91" s="144">
        <v>44099</v>
      </c>
      <c r="P91" s="145">
        <v>44078.696527777778</v>
      </c>
      <c r="Q91" s="144">
        <v>44771</v>
      </c>
      <c r="R91" s="145">
        <v>44543.959722222222</v>
      </c>
      <c r="S91" s="1"/>
      <c r="T91" s="1">
        <v>32817</v>
      </c>
      <c r="U91" s="1"/>
      <c r="V91" s="1"/>
      <c r="W91" s="1">
        <v>3250</v>
      </c>
      <c r="X91" s="1"/>
      <c r="Y91" s="4" t="s">
        <v>995</v>
      </c>
      <c r="Z91" s="1"/>
      <c r="AA91" s="1"/>
      <c r="AB91" s="1">
        <v>2</v>
      </c>
      <c r="AC91" s="1"/>
      <c r="AD91" s="1"/>
      <c r="AE91" s="1" t="s">
        <v>996</v>
      </c>
      <c r="AF91" s="1">
        <v>2022870201</v>
      </c>
      <c r="AG91" s="1" t="s">
        <v>997</v>
      </c>
      <c r="AH91" s="1" t="s">
        <v>998</v>
      </c>
    </row>
    <row r="92" spans="12:34">
      <c r="L92" s="1">
        <v>90</v>
      </c>
      <c r="M92" s="1">
        <v>1000009</v>
      </c>
      <c r="N92" s="1">
        <v>35155319</v>
      </c>
      <c r="O92" s="144">
        <v>44099</v>
      </c>
      <c r="P92" s="145">
        <v>44078.696527777778</v>
      </c>
      <c r="Q92" s="144">
        <v>44771</v>
      </c>
      <c r="R92" s="145">
        <v>44543.959722222222</v>
      </c>
      <c r="S92" s="1"/>
      <c r="T92" s="1">
        <v>32817</v>
      </c>
      <c r="U92" s="1"/>
      <c r="V92" s="1"/>
      <c r="W92" s="1">
        <v>3250</v>
      </c>
      <c r="X92" s="1"/>
      <c r="Y92" s="4" t="s">
        <v>995</v>
      </c>
      <c r="Z92" s="1"/>
      <c r="AA92" s="1"/>
      <c r="AB92" s="1">
        <v>2</v>
      </c>
      <c r="AC92" s="1"/>
      <c r="AD92" s="1"/>
      <c r="AE92" s="1" t="s">
        <v>999</v>
      </c>
      <c r="AF92" s="1">
        <v>2022870201</v>
      </c>
      <c r="AG92" s="1" t="s">
        <v>997</v>
      </c>
      <c r="AH92" s="1" t="s">
        <v>998</v>
      </c>
    </row>
    <row r="93" spans="12:34">
      <c r="L93" s="1">
        <v>91</v>
      </c>
      <c r="M93" s="1">
        <v>1000009</v>
      </c>
      <c r="N93" s="1">
        <v>35155319</v>
      </c>
      <c r="O93" s="144">
        <v>44099</v>
      </c>
      <c r="P93" s="145">
        <v>44078.696527777778</v>
      </c>
      <c r="Q93" s="144">
        <v>44771</v>
      </c>
      <c r="R93" s="145">
        <v>44543.959722222222</v>
      </c>
      <c r="S93" s="1"/>
      <c r="T93" s="1">
        <v>32817</v>
      </c>
      <c r="U93" s="1"/>
      <c r="V93" s="1"/>
      <c r="W93" s="1">
        <v>3250</v>
      </c>
      <c r="X93" s="1"/>
      <c r="Y93" s="4" t="s">
        <v>995</v>
      </c>
      <c r="Z93" s="1"/>
      <c r="AA93" s="1"/>
      <c r="AB93" s="1">
        <v>2</v>
      </c>
      <c r="AC93" s="1"/>
      <c r="AD93" s="1"/>
      <c r="AE93" s="1" t="s">
        <v>999</v>
      </c>
      <c r="AF93" s="1">
        <v>2022870201</v>
      </c>
      <c r="AG93" s="1" t="s">
        <v>997</v>
      </c>
      <c r="AH93" s="1" t="s">
        <v>998</v>
      </c>
    </row>
    <row r="94" spans="12:34">
      <c r="L94" s="1">
        <v>92</v>
      </c>
      <c r="M94" s="1">
        <v>1000009</v>
      </c>
      <c r="N94" s="1">
        <v>35155319</v>
      </c>
      <c r="O94" s="144">
        <v>44099</v>
      </c>
      <c r="P94" s="145">
        <v>44078.696527777778</v>
      </c>
      <c r="Q94" s="144">
        <v>44771</v>
      </c>
      <c r="R94" s="145">
        <v>44543.959722222222</v>
      </c>
      <c r="S94" s="1"/>
      <c r="T94" s="1">
        <v>32817</v>
      </c>
      <c r="U94" s="1"/>
      <c r="V94" s="1"/>
      <c r="W94" s="1">
        <v>3250</v>
      </c>
      <c r="X94" s="1"/>
      <c r="Y94" s="4" t="s">
        <v>995</v>
      </c>
      <c r="Z94" s="1"/>
      <c r="AA94" s="1"/>
      <c r="AB94" s="1">
        <v>2</v>
      </c>
      <c r="AC94" s="1"/>
      <c r="AD94" s="1"/>
      <c r="AE94" s="1" t="s">
        <v>999</v>
      </c>
      <c r="AF94" s="1">
        <v>2022870201</v>
      </c>
      <c r="AG94" s="1" t="s">
        <v>997</v>
      </c>
      <c r="AH94" s="1" t="s">
        <v>998</v>
      </c>
    </row>
    <row r="95" spans="12:34">
      <c r="L95" s="1">
        <v>93</v>
      </c>
      <c r="M95" s="1">
        <v>1000009</v>
      </c>
      <c r="N95" s="1">
        <v>21156684</v>
      </c>
      <c r="O95" s="144">
        <v>44118</v>
      </c>
      <c r="P95" s="145">
        <v>44382.502083333333</v>
      </c>
      <c r="Q95" s="144">
        <v>44022</v>
      </c>
      <c r="R95" s="145">
        <v>45089.892361111109</v>
      </c>
      <c r="S95" s="1"/>
      <c r="T95" s="1">
        <v>32817</v>
      </c>
      <c r="U95" s="1"/>
      <c r="V95" s="1"/>
      <c r="W95" s="1">
        <v>66</v>
      </c>
      <c r="X95" s="1"/>
      <c r="Y95" s="4" t="s">
        <v>1000</v>
      </c>
      <c r="Z95" s="1"/>
      <c r="AA95" s="1"/>
      <c r="AB95" s="1">
        <v>7</v>
      </c>
      <c r="AC95" s="1"/>
      <c r="AD95" s="1"/>
      <c r="AE95" s="1" t="s">
        <v>1001</v>
      </c>
      <c r="AF95" s="1">
        <v>2022098103</v>
      </c>
      <c r="AG95" s="1" t="s">
        <v>1002</v>
      </c>
      <c r="AH95" s="1" t="s">
        <v>1003</v>
      </c>
    </row>
    <row r="96" spans="12:34">
      <c r="L96" s="1">
        <v>94</v>
      </c>
      <c r="M96" s="1">
        <v>1000009</v>
      </c>
      <c r="N96" s="1">
        <v>21156684</v>
      </c>
      <c r="O96" s="144">
        <v>44118</v>
      </c>
      <c r="P96" s="145">
        <v>44382.502083333333</v>
      </c>
      <c r="Q96" s="144">
        <v>44022</v>
      </c>
      <c r="R96" s="145">
        <v>45089.892361111109</v>
      </c>
      <c r="S96" s="1"/>
      <c r="T96" s="1">
        <v>32817</v>
      </c>
      <c r="U96" s="1"/>
      <c r="V96" s="1"/>
      <c r="W96" s="1">
        <v>66</v>
      </c>
      <c r="X96" s="1"/>
      <c r="Y96" s="4" t="s">
        <v>1000</v>
      </c>
      <c r="Z96" s="1"/>
      <c r="AA96" s="1"/>
      <c r="AB96" s="1">
        <v>7</v>
      </c>
      <c r="AC96" s="1"/>
      <c r="AD96" s="1"/>
      <c r="AE96" s="1" t="s">
        <v>1001</v>
      </c>
      <c r="AF96" s="1">
        <v>2022098103</v>
      </c>
      <c r="AG96" s="1" t="s">
        <v>1002</v>
      </c>
      <c r="AH96" s="1" t="s">
        <v>1003</v>
      </c>
    </row>
    <row r="97" spans="12:34">
      <c r="L97" s="1">
        <v>95</v>
      </c>
      <c r="M97" s="1">
        <v>1000009</v>
      </c>
      <c r="N97" s="1">
        <v>21156684</v>
      </c>
      <c r="O97" s="144">
        <v>44118</v>
      </c>
      <c r="P97" s="145">
        <v>44382.502083333333</v>
      </c>
      <c r="Q97" s="144">
        <v>44022</v>
      </c>
      <c r="R97" s="145">
        <v>45089.892361111109</v>
      </c>
      <c r="S97" s="1"/>
      <c r="T97" s="1">
        <v>32817</v>
      </c>
      <c r="U97" s="1"/>
      <c r="V97" s="1"/>
      <c r="W97" s="1">
        <v>66</v>
      </c>
      <c r="X97" s="1"/>
      <c r="Y97" s="4" t="s">
        <v>1000</v>
      </c>
      <c r="Z97" s="1"/>
      <c r="AA97" s="1"/>
      <c r="AB97" s="1">
        <v>7</v>
      </c>
      <c r="AC97" s="1"/>
      <c r="AD97" s="1"/>
      <c r="AE97" s="1" t="s">
        <v>1004</v>
      </c>
      <c r="AF97" s="1">
        <v>2022098103</v>
      </c>
      <c r="AG97" s="1" t="s">
        <v>1002</v>
      </c>
      <c r="AH97" s="1" t="s">
        <v>1003</v>
      </c>
    </row>
    <row r="98" spans="12:34">
      <c r="L98" s="1">
        <v>96</v>
      </c>
      <c r="M98" s="1">
        <v>1000009</v>
      </c>
      <c r="N98" s="1">
        <v>21156684</v>
      </c>
      <c r="O98" s="144">
        <v>44118</v>
      </c>
      <c r="P98" s="145">
        <v>44382.502083333333</v>
      </c>
      <c r="Q98" s="144">
        <v>44022</v>
      </c>
      <c r="R98" s="145">
        <v>45089.892361111109</v>
      </c>
      <c r="S98" s="1"/>
      <c r="T98" s="1">
        <v>32817</v>
      </c>
      <c r="U98" s="1"/>
      <c r="V98" s="1"/>
      <c r="W98" s="1">
        <v>66</v>
      </c>
      <c r="X98" s="1"/>
      <c r="Y98" s="4" t="s">
        <v>1000</v>
      </c>
      <c r="Z98" s="1"/>
      <c r="AA98" s="1"/>
      <c r="AB98" s="1">
        <v>7</v>
      </c>
      <c r="AC98" s="1"/>
      <c r="AD98" s="1"/>
      <c r="AE98" s="1" t="s">
        <v>1004</v>
      </c>
      <c r="AF98" s="1">
        <v>2022098103</v>
      </c>
      <c r="AG98" s="1" t="s">
        <v>1002</v>
      </c>
      <c r="AH98" s="1" t="s">
        <v>1003</v>
      </c>
    </row>
    <row r="99" spans="12:34">
      <c r="L99" s="1">
        <v>97</v>
      </c>
      <c r="M99" s="1">
        <v>1000009</v>
      </c>
      <c r="N99" s="1">
        <v>21156684</v>
      </c>
      <c r="O99" s="144">
        <v>44118</v>
      </c>
      <c r="P99" s="145">
        <v>44382.502083333333</v>
      </c>
      <c r="Q99" s="144">
        <v>44022</v>
      </c>
      <c r="R99" s="145">
        <v>45089.892361111109</v>
      </c>
      <c r="S99" s="1"/>
      <c r="T99" s="1">
        <v>32817</v>
      </c>
      <c r="U99" s="1"/>
      <c r="V99" s="1"/>
      <c r="W99" s="1">
        <v>66</v>
      </c>
      <c r="X99" s="1"/>
      <c r="Y99" s="4" t="s">
        <v>1000</v>
      </c>
      <c r="Z99" s="1"/>
      <c r="AA99" s="1"/>
      <c r="AB99" s="1">
        <v>7</v>
      </c>
      <c r="AC99" s="1"/>
      <c r="AD99" s="1"/>
      <c r="AE99" s="1" t="s">
        <v>1004</v>
      </c>
      <c r="AF99" s="1">
        <v>2022098103</v>
      </c>
      <c r="AG99" s="1" t="s">
        <v>1002</v>
      </c>
      <c r="AH99" s="1" t="s">
        <v>1003</v>
      </c>
    </row>
    <row r="100" spans="12:34">
      <c r="L100" s="1">
        <v>98</v>
      </c>
      <c r="M100" s="1">
        <v>1000009</v>
      </c>
      <c r="N100" s="1">
        <v>19080187</v>
      </c>
      <c r="O100" s="144">
        <v>44166</v>
      </c>
      <c r="P100" s="1"/>
      <c r="Q100" s="144">
        <v>44182</v>
      </c>
      <c r="R100" s="1"/>
      <c r="S100" s="1"/>
      <c r="T100" s="1">
        <v>32817</v>
      </c>
      <c r="U100" s="1"/>
      <c r="V100" s="1"/>
      <c r="W100" s="1">
        <v>198</v>
      </c>
      <c r="X100" s="1">
        <v>17</v>
      </c>
      <c r="Y100" s="4" t="s">
        <v>1005</v>
      </c>
      <c r="Z100" s="1">
        <v>4132161</v>
      </c>
      <c r="AA100" s="1"/>
      <c r="AB100" s="1">
        <v>5</v>
      </c>
      <c r="AC100" s="1"/>
      <c r="AD100" s="1"/>
      <c r="AE100" s="1" t="s">
        <v>1006</v>
      </c>
      <c r="AF100" s="1">
        <v>2020007057</v>
      </c>
      <c r="AG100" s="1" t="s">
        <v>893</v>
      </c>
      <c r="AH100" s="1" t="s">
        <v>1007</v>
      </c>
    </row>
    <row r="101" spans="12:34">
      <c r="L101" s="1">
        <v>99</v>
      </c>
      <c r="M101" s="1">
        <v>1000009</v>
      </c>
      <c r="N101" s="1">
        <v>41177385</v>
      </c>
      <c r="O101" s="144">
        <v>44291</v>
      </c>
      <c r="P101" s="1"/>
      <c r="Q101" s="144">
        <v>44296</v>
      </c>
      <c r="R101" s="1"/>
      <c r="S101" s="1"/>
      <c r="T101" s="1">
        <v>32817</v>
      </c>
      <c r="U101" s="1"/>
      <c r="V101" s="1"/>
      <c r="W101" s="1">
        <v>18</v>
      </c>
      <c r="X101" s="1">
        <v>6</v>
      </c>
      <c r="Y101" s="4" t="s">
        <v>1008</v>
      </c>
      <c r="Z101" s="1"/>
      <c r="AA101" s="1"/>
      <c r="AB101" s="1">
        <v>6</v>
      </c>
      <c r="AC101" s="1"/>
      <c r="AD101" s="1"/>
      <c r="AE101" s="1" t="s">
        <v>1009</v>
      </c>
      <c r="AF101" s="1">
        <v>2022350501</v>
      </c>
      <c r="AG101" s="1"/>
      <c r="AH101" s="1" t="s">
        <v>1010</v>
      </c>
    </row>
    <row r="102" spans="12:34">
      <c r="L102" s="1">
        <v>100</v>
      </c>
      <c r="M102" s="1">
        <v>1000009</v>
      </c>
      <c r="N102" s="1">
        <v>36780879</v>
      </c>
      <c r="O102" s="144">
        <v>44378</v>
      </c>
      <c r="P102" s="145">
        <v>44124.228472222225</v>
      </c>
      <c r="Q102" s="144">
        <v>45068</v>
      </c>
      <c r="R102" s="145">
        <v>44998.836111111108</v>
      </c>
      <c r="S102" s="1"/>
      <c r="T102" s="1">
        <v>32817</v>
      </c>
      <c r="U102" s="1"/>
      <c r="V102" s="1"/>
      <c r="W102" s="1">
        <v>850</v>
      </c>
      <c r="X102" s="1"/>
      <c r="Y102" s="4" t="s">
        <v>1011</v>
      </c>
      <c r="Z102" s="1"/>
      <c r="AA102" s="1"/>
      <c r="AB102" s="1">
        <v>6</v>
      </c>
      <c r="AC102" s="1"/>
      <c r="AD102" s="1"/>
      <c r="AE102" s="1" t="s">
        <v>1012</v>
      </c>
      <c r="AF102" s="1">
        <v>2020004872</v>
      </c>
      <c r="AG102" s="1" t="s">
        <v>1002</v>
      </c>
      <c r="AH102" s="1" t="s">
        <v>889</v>
      </c>
    </row>
  </sheetData>
  <autoFilter ref="A2:I25" xr:uid="{83BE8B5A-C22A-4E7C-9B09-13C21A0501B2}"/>
  <phoneticPr fontId="1"/>
  <hyperlinks>
    <hyperlink ref="I11" r:id="rId1" xr:uid="{560D5A09-BB0F-43BA-BA09-2EB93EA6B15D}"/>
    <hyperlink ref="I5" r:id="rId2" xr:uid="{02B017A5-97EF-4721-A9A7-7154439A008A}"/>
    <hyperlink ref="I23" r:id="rId3" xr:uid="{B51D78EF-89CB-4CCF-B58E-8BE689661065}"/>
    <hyperlink ref="I17" r:id="rId4" xr:uid="{7C8103C8-6D64-4CAB-8BB7-6CFC7CE6FE32}"/>
  </hyperlinks>
  <pageMargins left="0.7" right="0.7" top="0.75" bottom="0.75" header="0.3" footer="0.3"/>
  <pageSetup paperSize="9" orientation="portrait" r:id="rId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C035F-BC8B-4912-8E7E-D2620443EEC5}">
  <sheetPr codeName="Sheet11"/>
  <dimension ref="A1:J59"/>
  <sheetViews>
    <sheetView zoomScaleNormal="100" workbookViewId="0">
      <pane xSplit="2" ySplit="2" topLeftCell="C23" activePane="bottomRight" state="frozen"/>
      <selection pane="topRight" activeCell="C1" sqref="C1"/>
      <selection pane="bottomLeft" activeCell="A3" sqref="A3"/>
      <selection pane="bottomRight"/>
    </sheetView>
  </sheetViews>
  <sheetFormatPr defaultRowHeight="18.75"/>
  <cols>
    <col min="1" max="1" width="29.375" bestFit="1" customWidth="1"/>
    <col min="2" max="2" width="28.125" bestFit="1" customWidth="1"/>
    <col min="3" max="3" width="11.625" bestFit="1" customWidth="1"/>
    <col min="4" max="4" width="10.625" bestFit="1" customWidth="1"/>
    <col min="5" max="5" width="13.625" customWidth="1"/>
    <col min="6" max="6" width="35.375" customWidth="1"/>
    <col min="7" max="7" width="32.875" customWidth="1"/>
    <col min="8" max="8" width="28.625" bestFit="1" customWidth="1"/>
    <col min="9" max="9" width="28.5" customWidth="1"/>
  </cols>
  <sheetData>
    <row r="1" spans="1:10">
      <c r="A1" s="6" t="s">
        <v>117</v>
      </c>
    </row>
    <row r="2" spans="1:10">
      <c r="A2" s="5" t="s">
        <v>0</v>
      </c>
      <c r="B2" s="5" t="s">
        <v>1</v>
      </c>
      <c r="C2" s="5" t="s">
        <v>2</v>
      </c>
      <c r="D2" s="5" t="s">
        <v>8</v>
      </c>
      <c r="E2" s="5" t="s">
        <v>151</v>
      </c>
      <c r="F2" s="5" t="s">
        <v>63</v>
      </c>
      <c r="G2" s="5" t="s">
        <v>145</v>
      </c>
      <c r="H2" s="5" t="s">
        <v>743</v>
      </c>
      <c r="I2" s="5" t="s">
        <v>85</v>
      </c>
    </row>
    <row r="3" spans="1:10">
      <c r="A3" s="30" t="s">
        <v>100</v>
      </c>
      <c r="B3" s="30" t="s">
        <v>3</v>
      </c>
      <c r="C3" s="30"/>
      <c r="D3" s="30" t="s">
        <v>9</v>
      </c>
      <c r="E3" s="12" t="s">
        <v>357</v>
      </c>
      <c r="F3" s="15"/>
      <c r="G3" s="12" t="s">
        <v>356</v>
      </c>
      <c r="H3" s="12"/>
      <c r="I3" s="15"/>
      <c r="J3" s="17"/>
    </row>
    <row r="4" spans="1:10" ht="37.5">
      <c r="A4" s="30" t="s">
        <v>49</v>
      </c>
      <c r="B4" s="30" t="s">
        <v>3</v>
      </c>
      <c r="C4" s="30"/>
      <c r="D4" s="30" t="s">
        <v>9</v>
      </c>
      <c r="E4" s="30" t="s">
        <v>204</v>
      </c>
      <c r="F4" s="15" t="s">
        <v>722</v>
      </c>
      <c r="G4" s="15" t="s">
        <v>359</v>
      </c>
      <c r="H4" s="15"/>
      <c r="I4" s="15"/>
      <c r="J4" s="17"/>
    </row>
    <row r="5" spans="1:10" ht="93.75">
      <c r="A5" s="30" t="s">
        <v>275</v>
      </c>
      <c r="B5" s="30" t="s">
        <v>3</v>
      </c>
      <c r="C5" s="30"/>
      <c r="D5" s="30" t="s">
        <v>9</v>
      </c>
      <c r="E5" s="29" t="s">
        <v>204</v>
      </c>
      <c r="F5" s="15" t="s">
        <v>310</v>
      </c>
      <c r="G5" s="15" t="s">
        <v>166</v>
      </c>
      <c r="H5" s="120" t="s">
        <v>747</v>
      </c>
      <c r="I5" s="16" t="s">
        <v>163</v>
      </c>
      <c r="J5" s="18"/>
    </row>
    <row r="6" spans="1:10" ht="37.5">
      <c r="A6" s="30" t="s">
        <v>101</v>
      </c>
      <c r="B6" s="30" t="s">
        <v>5</v>
      </c>
      <c r="C6" s="30"/>
      <c r="D6" s="30" t="s">
        <v>9</v>
      </c>
      <c r="E6" s="15" t="s">
        <v>162</v>
      </c>
      <c r="F6" s="15" t="s">
        <v>386</v>
      </c>
      <c r="G6" s="15" t="s">
        <v>376</v>
      </c>
      <c r="H6" s="15"/>
      <c r="I6" s="15"/>
      <c r="J6" s="17"/>
    </row>
    <row r="7" spans="1:10" ht="37.5">
      <c r="A7" s="15" t="s">
        <v>102</v>
      </c>
      <c r="B7" s="15" t="s">
        <v>6</v>
      </c>
      <c r="C7" s="15"/>
      <c r="D7" s="15" t="s">
        <v>10</v>
      </c>
      <c r="E7" s="15" t="s">
        <v>162</v>
      </c>
      <c r="F7" s="15" t="s">
        <v>387</v>
      </c>
      <c r="G7" s="15" t="s">
        <v>385</v>
      </c>
      <c r="H7" s="15"/>
      <c r="I7" s="15"/>
      <c r="J7" s="17"/>
    </row>
    <row r="8" spans="1:10" ht="56.25">
      <c r="A8" s="30" t="s">
        <v>103</v>
      </c>
      <c r="B8" s="30" t="s">
        <v>5</v>
      </c>
      <c r="C8" s="30"/>
      <c r="D8" s="30" t="s">
        <v>9</v>
      </c>
      <c r="E8" s="15" t="s">
        <v>162</v>
      </c>
      <c r="F8" s="15" t="s">
        <v>1843</v>
      </c>
      <c r="G8" s="15" t="s">
        <v>1844</v>
      </c>
      <c r="H8" s="15"/>
      <c r="I8" s="15"/>
      <c r="J8" s="17"/>
    </row>
    <row r="9" spans="1:10">
      <c r="A9" s="62" t="s">
        <v>104</v>
      </c>
      <c r="B9" s="62" t="s">
        <v>6</v>
      </c>
      <c r="C9" s="62"/>
      <c r="D9" s="62" t="s">
        <v>10</v>
      </c>
      <c r="E9" s="62" t="s">
        <v>162</v>
      </c>
      <c r="F9" s="62"/>
      <c r="G9" s="62" t="s">
        <v>68</v>
      </c>
      <c r="H9" s="62"/>
      <c r="I9" s="62"/>
      <c r="J9" s="17"/>
    </row>
    <row r="10" spans="1:10">
      <c r="A10" s="62" t="s">
        <v>105</v>
      </c>
      <c r="B10" s="62" t="s">
        <v>5</v>
      </c>
      <c r="C10" s="62"/>
      <c r="D10" s="62" t="s">
        <v>10</v>
      </c>
      <c r="E10" s="62"/>
      <c r="F10" s="62"/>
      <c r="G10" s="62" t="s">
        <v>68</v>
      </c>
      <c r="H10" s="62"/>
      <c r="I10" s="62"/>
      <c r="J10" s="17"/>
    </row>
    <row r="11" spans="1:10" ht="93.75">
      <c r="A11" s="30" t="s">
        <v>106</v>
      </c>
      <c r="B11" s="30" t="s">
        <v>3</v>
      </c>
      <c r="C11" s="30"/>
      <c r="D11" s="30" t="s">
        <v>9</v>
      </c>
      <c r="E11" s="31" t="s">
        <v>150</v>
      </c>
      <c r="F11" s="15" t="s">
        <v>144</v>
      </c>
      <c r="G11" s="15" t="s">
        <v>365</v>
      </c>
      <c r="H11" s="15"/>
      <c r="I11" s="16" t="s">
        <v>161</v>
      </c>
      <c r="J11" s="17"/>
    </row>
    <row r="12" spans="1:10">
      <c r="A12" s="62" t="s">
        <v>75</v>
      </c>
      <c r="B12" s="62" t="s">
        <v>4</v>
      </c>
      <c r="C12" s="62">
        <v>20</v>
      </c>
      <c r="D12" s="62" t="s">
        <v>10</v>
      </c>
      <c r="E12" s="62"/>
      <c r="F12" s="62"/>
      <c r="G12" s="62" t="s">
        <v>68</v>
      </c>
      <c r="H12" s="62"/>
      <c r="I12" s="62"/>
      <c r="J12" s="17"/>
    </row>
    <row r="13" spans="1:10">
      <c r="A13" s="62" t="s">
        <v>107</v>
      </c>
      <c r="B13" s="62" t="s">
        <v>3</v>
      </c>
      <c r="C13" s="62"/>
      <c r="D13" s="62" t="s">
        <v>10</v>
      </c>
      <c r="E13" s="62"/>
      <c r="F13" s="62"/>
      <c r="G13" s="62" t="s">
        <v>68</v>
      </c>
      <c r="H13" s="62"/>
      <c r="I13" s="62"/>
      <c r="J13" s="17"/>
    </row>
    <row r="14" spans="1:10" ht="37.5">
      <c r="A14" s="15" t="s">
        <v>87</v>
      </c>
      <c r="B14" s="15" t="s">
        <v>7</v>
      </c>
      <c r="C14" s="15"/>
      <c r="D14" s="15" t="s">
        <v>10</v>
      </c>
      <c r="E14" s="15" t="s">
        <v>162</v>
      </c>
      <c r="F14" s="15" t="s">
        <v>311</v>
      </c>
      <c r="G14" s="15" t="s">
        <v>388</v>
      </c>
      <c r="H14" s="15"/>
      <c r="I14" s="15"/>
      <c r="J14" s="17"/>
    </row>
    <row r="15" spans="1:10">
      <c r="A15" s="62" t="s">
        <v>108</v>
      </c>
      <c r="B15" s="62" t="s">
        <v>3</v>
      </c>
      <c r="C15" s="62"/>
      <c r="D15" s="62" t="s">
        <v>10</v>
      </c>
      <c r="E15" s="62"/>
      <c r="F15" s="62"/>
      <c r="G15" s="62" t="s">
        <v>68</v>
      </c>
      <c r="H15" s="62"/>
      <c r="I15" s="62"/>
      <c r="J15" s="17"/>
    </row>
    <row r="16" spans="1:10" ht="75">
      <c r="A16" s="15" t="s">
        <v>109</v>
      </c>
      <c r="B16" s="15" t="s">
        <v>110</v>
      </c>
      <c r="C16" s="15"/>
      <c r="D16" s="15" t="s">
        <v>10</v>
      </c>
      <c r="E16" s="15" t="s">
        <v>162</v>
      </c>
      <c r="F16" s="15" t="s">
        <v>1896</v>
      </c>
      <c r="G16" s="15" t="s">
        <v>1132</v>
      </c>
      <c r="H16" s="15"/>
      <c r="I16" s="15"/>
      <c r="J16" s="17"/>
    </row>
    <row r="17" spans="1:10" ht="93.75">
      <c r="A17" s="15" t="s">
        <v>111</v>
      </c>
      <c r="B17" s="15" t="s">
        <v>3</v>
      </c>
      <c r="C17" s="15"/>
      <c r="D17" s="15" t="s">
        <v>10</v>
      </c>
      <c r="E17" s="29" t="s">
        <v>204</v>
      </c>
      <c r="F17" s="15" t="s">
        <v>389</v>
      </c>
      <c r="G17" s="65" t="s">
        <v>384</v>
      </c>
      <c r="H17" s="120" t="s">
        <v>746</v>
      </c>
      <c r="I17" s="16" t="s">
        <v>1866</v>
      </c>
      <c r="J17" s="17"/>
    </row>
    <row r="18" spans="1:10">
      <c r="A18" s="62" t="s">
        <v>112</v>
      </c>
      <c r="B18" s="62" t="s">
        <v>4</v>
      </c>
      <c r="C18" s="62">
        <v>50</v>
      </c>
      <c r="D18" s="62" t="s">
        <v>10</v>
      </c>
      <c r="E18" s="62"/>
      <c r="F18" s="62"/>
      <c r="G18" s="62" t="s">
        <v>68</v>
      </c>
      <c r="H18" s="62"/>
      <c r="I18" s="62"/>
      <c r="J18" s="17"/>
    </row>
    <row r="19" spans="1:10" ht="37.5">
      <c r="A19" s="15" t="s">
        <v>56</v>
      </c>
      <c r="B19" s="15" t="s">
        <v>3</v>
      </c>
      <c r="C19" s="15"/>
      <c r="D19" s="15" t="s">
        <v>10</v>
      </c>
      <c r="E19" s="29" t="s">
        <v>204</v>
      </c>
      <c r="F19" s="15" t="s">
        <v>400</v>
      </c>
      <c r="G19" s="15" t="s">
        <v>341</v>
      </c>
      <c r="H19" s="15"/>
      <c r="I19" s="15"/>
      <c r="J19" s="17"/>
    </row>
    <row r="20" spans="1:10">
      <c r="A20" s="62" t="s">
        <v>76</v>
      </c>
      <c r="B20" s="62" t="s">
        <v>3</v>
      </c>
      <c r="C20" s="62"/>
      <c r="D20" s="62" t="s">
        <v>10</v>
      </c>
      <c r="E20" s="62"/>
      <c r="F20" s="62"/>
      <c r="G20" s="62" t="s">
        <v>68</v>
      </c>
      <c r="H20" s="62"/>
      <c r="I20" s="62"/>
      <c r="J20" s="17"/>
    </row>
    <row r="21" spans="1:10">
      <c r="A21" s="62" t="s">
        <v>77</v>
      </c>
      <c r="B21" s="62" t="s">
        <v>3</v>
      </c>
      <c r="C21" s="62"/>
      <c r="D21" s="62" t="s">
        <v>10</v>
      </c>
      <c r="E21" s="62"/>
      <c r="F21" s="62"/>
      <c r="G21" s="62" t="s">
        <v>68</v>
      </c>
      <c r="H21" s="62"/>
      <c r="I21" s="62"/>
      <c r="J21" s="17"/>
    </row>
    <row r="22" spans="1:10" ht="56.25">
      <c r="A22" s="15" t="s">
        <v>113</v>
      </c>
      <c r="B22" s="15" t="s">
        <v>4</v>
      </c>
      <c r="C22" s="15">
        <v>50</v>
      </c>
      <c r="D22" s="15" t="s">
        <v>10</v>
      </c>
      <c r="E22" s="15" t="s">
        <v>162</v>
      </c>
      <c r="F22" s="15" t="s">
        <v>1839</v>
      </c>
      <c r="G22" s="15" t="s">
        <v>1837</v>
      </c>
      <c r="H22" s="15"/>
      <c r="I22" s="15"/>
      <c r="J22" s="17"/>
    </row>
    <row r="23" spans="1:10" ht="93.75">
      <c r="A23" s="15" t="s">
        <v>114</v>
      </c>
      <c r="B23" s="15" t="s">
        <v>3</v>
      </c>
      <c r="C23" s="15"/>
      <c r="D23" s="15" t="s">
        <v>10</v>
      </c>
      <c r="E23" s="30" t="s">
        <v>204</v>
      </c>
      <c r="F23" s="15" t="s">
        <v>310</v>
      </c>
      <c r="G23" s="15" t="s">
        <v>203</v>
      </c>
      <c r="H23" s="120" t="s">
        <v>747</v>
      </c>
      <c r="I23" s="16" t="s">
        <v>1870</v>
      </c>
      <c r="J23" s="18"/>
    </row>
    <row r="24" spans="1:10" ht="37.5">
      <c r="A24" s="15" t="s">
        <v>115</v>
      </c>
      <c r="B24" s="15" t="s">
        <v>4</v>
      </c>
      <c r="C24" s="15">
        <v>50</v>
      </c>
      <c r="D24" s="15" t="s">
        <v>10</v>
      </c>
      <c r="E24" s="15" t="s">
        <v>162</v>
      </c>
      <c r="F24" s="15" t="s">
        <v>309</v>
      </c>
      <c r="G24" s="15" t="s">
        <v>1133</v>
      </c>
      <c r="H24" s="15"/>
      <c r="I24" s="15"/>
      <c r="J24" s="17"/>
    </row>
    <row r="25" spans="1:10" ht="56.25">
      <c r="A25" s="15" t="s">
        <v>116</v>
      </c>
      <c r="B25" s="15" t="s">
        <v>4</v>
      </c>
      <c r="C25" s="15">
        <v>50</v>
      </c>
      <c r="D25" s="15" t="s">
        <v>10</v>
      </c>
      <c r="E25" s="15" t="s">
        <v>162</v>
      </c>
      <c r="F25" s="15" t="s">
        <v>1134</v>
      </c>
      <c r="G25" s="15" t="s">
        <v>1135</v>
      </c>
      <c r="H25" s="15"/>
      <c r="I25" s="15"/>
      <c r="J25" s="17"/>
    </row>
    <row r="27" spans="1:10">
      <c r="A27" s="250" t="s">
        <v>1808</v>
      </c>
    </row>
    <row r="28" spans="1:10">
      <c r="A28" s="250" t="s">
        <v>1809</v>
      </c>
    </row>
    <row r="29" spans="1:10">
      <c r="A29" s="250"/>
    </row>
    <row r="30" spans="1:10">
      <c r="A30" s="18"/>
      <c r="D30" s="19"/>
    </row>
    <row r="31" spans="1:10">
      <c r="A31" s="17"/>
    </row>
    <row r="32" spans="1:10">
      <c r="A32" s="17"/>
    </row>
    <row r="33" spans="1:4">
      <c r="A33" s="17"/>
    </row>
    <row r="34" spans="1:4">
      <c r="A34" s="17"/>
    </row>
    <row r="35" spans="1:4">
      <c r="A35" s="17"/>
    </row>
    <row r="36" spans="1:4">
      <c r="A36" s="17"/>
    </row>
    <row r="37" spans="1:4">
      <c r="A37" s="17"/>
    </row>
    <row r="38" spans="1:4">
      <c r="A38" s="17"/>
    </row>
    <row r="39" spans="1:4">
      <c r="A39" s="17"/>
    </row>
    <row r="40" spans="1:4">
      <c r="A40" s="17"/>
    </row>
    <row r="41" spans="1:4">
      <c r="A41" s="17"/>
    </row>
    <row r="42" spans="1:4">
      <c r="A42" s="17"/>
    </row>
    <row r="43" spans="1:4">
      <c r="A43" s="17"/>
    </row>
    <row r="44" spans="1:4">
      <c r="A44" s="17"/>
    </row>
    <row r="45" spans="1:4">
      <c r="A45" s="17"/>
    </row>
    <row r="46" spans="1:4">
      <c r="A46" s="17"/>
    </row>
    <row r="47" spans="1:4">
      <c r="A47" s="17"/>
    </row>
    <row r="48" spans="1:4">
      <c r="A48" s="18"/>
      <c r="D48" s="19"/>
    </row>
    <row r="49" spans="1:1">
      <c r="A49" s="17"/>
    </row>
    <row r="50" spans="1:1">
      <c r="A50" s="17"/>
    </row>
    <row r="51" spans="1:1">
      <c r="A51" s="17"/>
    </row>
    <row r="52" spans="1:1">
      <c r="A52" s="17"/>
    </row>
    <row r="53" spans="1:1">
      <c r="A53" s="17"/>
    </row>
    <row r="54" spans="1:1">
      <c r="A54" s="17"/>
    </row>
    <row r="56" spans="1:1">
      <c r="A56" s="19"/>
    </row>
    <row r="57" spans="1:1">
      <c r="A57" s="59"/>
    </row>
    <row r="58" spans="1:1">
      <c r="A58" s="59"/>
    </row>
    <row r="59" spans="1:1">
      <c r="A59" s="59"/>
    </row>
  </sheetData>
  <autoFilter ref="A2:I25" xr:uid="{83BE8B5A-C22A-4E7C-9B09-13C21A0501B2}"/>
  <phoneticPr fontId="1"/>
  <hyperlinks>
    <hyperlink ref="I11" r:id="rId1" xr:uid="{AD0F67F1-A43A-4685-9454-8B612B102242}"/>
    <hyperlink ref="I5" r:id="rId2" xr:uid="{4CA6A50C-A34C-4B21-A87D-74C53CBC09C6}"/>
    <hyperlink ref="I17" r:id="rId3" xr:uid="{635028F4-460A-4EE8-8A65-B7A822804B5C}"/>
    <hyperlink ref="I23" r:id="rId4" xr:uid="{06F14953-3D60-4187-84D5-4301DE6D9526}"/>
  </hyperlinks>
  <pageMargins left="0.7" right="0.7" top="0.75" bottom="0.75" header="0.3" footer="0.3"/>
  <pageSetup paperSize="9" orientation="portrait" r:id="rId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A6A7C-E3C6-4937-86EF-CDE92249AD12}">
  <sheetPr codeName="Sheet9"/>
  <dimension ref="A1:AH53"/>
  <sheetViews>
    <sheetView zoomScaleNormal="100" workbookViewId="0">
      <pane xSplit="2" ySplit="2" topLeftCell="C3" activePane="bottomRight" state="frozen"/>
      <selection pane="topRight" activeCell="C1" sqref="C1"/>
      <selection pane="bottomLeft" activeCell="A3" sqref="A3"/>
      <selection pane="bottomRight"/>
    </sheetView>
  </sheetViews>
  <sheetFormatPr defaultRowHeight="18.75"/>
  <cols>
    <col min="1" max="1" width="30.625" bestFit="1" customWidth="1"/>
    <col min="2" max="2" width="26.875" bestFit="1" customWidth="1"/>
    <col min="3" max="3" width="11.125" bestFit="1" customWidth="1"/>
    <col min="5" max="5" width="17.875" customWidth="1"/>
    <col min="6" max="6" width="26.5" customWidth="1"/>
    <col min="7" max="7" width="57.375" style="3" customWidth="1"/>
    <col min="8" max="8" width="30.875" style="3" bestFit="1" customWidth="1"/>
    <col min="9" max="9" width="57.375" style="3" customWidth="1"/>
    <col min="12" max="12" width="13.625" bestFit="1" customWidth="1"/>
    <col min="13" max="13" width="8.25" bestFit="1" customWidth="1"/>
    <col min="14" max="14" width="20.875" bestFit="1" customWidth="1"/>
    <col min="15" max="15" width="15.75" style="155" bestFit="1" customWidth="1"/>
    <col min="16" max="16" width="19.375" style="164" bestFit="1" customWidth="1"/>
    <col min="17" max="17" width="15.75" bestFit="1" customWidth="1"/>
    <col min="18" max="18" width="25" bestFit="1" customWidth="1"/>
    <col min="19" max="19" width="16.875" bestFit="1" customWidth="1"/>
    <col min="20" max="20" width="13.875" bestFit="1" customWidth="1"/>
    <col min="21" max="21" width="16.375" bestFit="1" customWidth="1"/>
    <col min="22" max="22" width="13" bestFit="1" customWidth="1"/>
    <col min="23" max="23" width="8.375" bestFit="1" customWidth="1"/>
    <col min="24" max="24" width="9" bestFit="1" customWidth="1"/>
    <col min="25" max="25" width="9.375" bestFit="1" customWidth="1"/>
    <col min="26" max="26" width="15.875" bestFit="1" customWidth="1"/>
    <col min="27" max="27" width="11.125" bestFit="1" customWidth="1"/>
    <col min="28" max="28" width="36.625" customWidth="1"/>
    <col min="29" max="29" width="27" bestFit="1" customWidth="1"/>
    <col min="30" max="30" width="14.625" bestFit="1" customWidth="1"/>
    <col min="31" max="31" width="19.125" bestFit="1" customWidth="1"/>
    <col min="32" max="32" width="15.75" bestFit="1" customWidth="1"/>
    <col min="33" max="33" width="18.75" bestFit="1" customWidth="1"/>
    <col min="34" max="34" width="23.375" bestFit="1" customWidth="1"/>
  </cols>
  <sheetData>
    <row r="1" spans="1:34">
      <c r="A1" s="6" t="s">
        <v>99</v>
      </c>
      <c r="L1" s="6" t="s">
        <v>807</v>
      </c>
    </row>
    <row r="2" spans="1:34">
      <c r="A2" s="2" t="s">
        <v>0</v>
      </c>
      <c r="B2" s="2" t="s">
        <v>1</v>
      </c>
      <c r="C2" s="2" t="s">
        <v>2</v>
      </c>
      <c r="D2" s="2" t="s">
        <v>8</v>
      </c>
      <c r="E2" s="5" t="s">
        <v>151</v>
      </c>
      <c r="F2" s="5" t="s">
        <v>63</v>
      </c>
      <c r="G2" s="5" t="s">
        <v>145</v>
      </c>
      <c r="H2" s="5" t="s">
        <v>743</v>
      </c>
      <c r="I2" s="5" t="s">
        <v>85</v>
      </c>
      <c r="L2" s="146" t="s">
        <v>92</v>
      </c>
      <c r="M2" s="146" t="s">
        <v>49</v>
      </c>
      <c r="N2" s="146" t="s">
        <v>1013</v>
      </c>
      <c r="O2" s="182" t="s">
        <v>93</v>
      </c>
      <c r="P2" s="184" t="s">
        <v>94</v>
      </c>
      <c r="Q2" s="146" t="s">
        <v>95</v>
      </c>
      <c r="R2" s="146" t="s">
        <v>1014</v>
      </c>
      <c r="S2" s="146" t="s">
        <v>552</v>
      </c>
      <c r="T2" s="146" t="s">
        <v>88</v>
      </c>
      <c r="U2" s="146" t="s">
        <v>556</v>
      </c>
      <c r="V2" s="146" t="s">
        <v>495</v>
      </c>
      <c r="W2" s="146" t="s">
        <v>96</v>
      </c>
      <c r="X2" s="146" t="s">
        <v>97</v>
      </c>
      <c r="Y2" s="146" t="s">
        <v>56</v>
      </c>
      <c r="Z2" s="146" t="s">
        <v>76</v>
      </c>
      <c r="AA2" s="146" t="s">
        <v>77</v>
      </c>
      <c r="AB2" s="146" t="s">
        <v>557</v>
      </c>
      <c r="AC2" s="146" t="s">
        <v>558</v>
      </c>
      <c r="AD2" s="146" t="s">
        <v>89</v>
      </c>
      <c r="AE2" s="146" t="s">
        <v>548</v>
      </c>
      <c r="AF2" s="146" t="s">
        <v>90</v>
      </c>
      <c r="AG2" s="146" t="s">
        <v>98</v>
      </c>
      <c r="AH2" s="146" t="s">
        <v>1015</v>
      </c>
    </row>
    <row r="3" spans="1:34">
      <c r="A3" s="66" t="s">
        <v>92</v>
      </c>
      <c r="B3" s="66" t="s">
        <v>3</v>
      </c>
      <c r="C3" s="66"/>
      <c r="D3" s="66" t="s">
        <v>9</v>
      </c>
      <c r="E3" s="12" t="s">
        <v>357</v>
      </c>
      <c r="F3" s="15"/>
      <c r="G3" s="12" t="s">
        <v>356</v>
      </c>
      <c r="H3" s="12"/>
      <c r="I3" s="15"/>
      <c r="J3" s="17"/>
      <c r="L3" s="147">
        <v>1</v>
      </c>
      <c r="M3" s="147">
        <v>1000002</v>
      </c>
      <c r="N3" s="147">
        <v>4243005</v>
      </c>
      <c r="O3" s="183">
        <v>44204</v>
      </c>
      <c r="P3" s="185">
        <v>44621.433356481481</v>
      </c>
      <c r="Q3" s="148" t="s">
        <v>1016</v>
      </c>
      <c r="R3" s="147">
        <v>32817</v>
      </c>
      <c r="S3" s="149"/>
      <c r="T3" s="147">
        <v>47</v>
      </c>
      <c r="U3" s="149"/>
      <c r="V3" s="149"/>
      <c r="W3" s="147">
        <v>0.46</v>
      </c>
      <c r="X3" s="147">
        <v>98.2</v>
      </c>
      <c r="Y3" s="147">
        <v>14</v>
      </c>
      <c r="Z3" s="149"/>
      <c r="AA3" s="149"/>
      <c r="AB3" s="148" t="s">
        <v>1017</v>
      </c>
      <c r="AC3" s="147">
        <v>0</v>
      </c>
      <c r="AD3" s="148" t="s">
        <v>1018</v>
      </c>
      <c r="AE3" s="149"/>
      <c r="AF3" s="148" t="s">
        <v>1019</v>
      </c>
      <c r="AG3" s="149"/>
      <c r="AH3" s="149"/>
    </row>
    <row r="4" spans="1:34" ht="37.5">
      <c r="A4" s="66" t="s">
        <v>49</v>
      </c>
      <c r="B4" s="66" t="s">
        <v>3</v>
      </c>
      <c r="C4" s="66"/>
      <c r="D4" s="66" t="s">
        <v>9</v>
      </c>
      <c r="E4" s="30" t="s">
        <v>204</v>
      </c>
      <c r="F4" s="15" t="s">
        <v>502</v>
      </c>
      <c r="G4" s="15" t="s">
        <v>359</v>
      </c>
      <c r="H4" s="15"/>
      <c r="I4" s="15"/>
      <c r="J4" s="17"/>
      <c r="L4" s="147">
        <v>2</v>
      </c>
      <c r="M4" s="147">
        <v>1000002</v>
      </c>
      <c r="N4" s="147">
        <v>4230543</v>
      </c>
      <c r="O4" s="183">
        <v>44259</v>
      </c>
      <c r="P4" s="185">
        <v>44328.549351851849</v>
      </c>
      <c r="Q4" s="148" t="s">
        <v>1020</v>
      </c>
      <c r="R4" s="147">
        <v>32817</v>
      </c>
      <c r="S4" s="149"/>
      <c r="T4" s="147">
        <v>31.3</v>
      </c>
      <c r="U4" s="149"/>
      <c r="V4" s="149"/>
      <c r="W4" s="147">
        <v>1.002</v>
      </c>
      <c r="X4" s="147">
        <v>16</v>
      </c>
      <c r="Y4" s="149"/>
      <c r="Z4" s="149"/>
      <c r="AA4" s="149"/>
      <c r="AB4" s="148" t="s">
        <v>1021</v>
      </c>
      <c r="AC4" s="147">
        <v>0</v>
      </c>
      <c r="AD4" s="148" t="s">
        <v>1022</v>
      </c>
      <c r="AE4" s="149"/>
      <c r="AF4" s="148" t="s">
        <v>1023</v>
      </c>
      <c r="AG4" s="149"/>
      <c r="AH4" s="149"/>
    </row>
    <row r="5" spans="1:34" ht="66">
      <c r="A5" s="66" t="s">
        <v>315</v>
      </c>
      <c r="B5" s="66" t="s">
        <v>3</v>
      </c>
      <c r="C5" s="66"/>
      <c r="D5" s="66" t="s">
        <v>9</v>
      </c>
      <c r="E5" s="29" t="s">
        <v>204</v>
      </c>
      <c r="F5" s="15" t="s">
        <v>304</v>
      </c>
      <c r="G5" s="15" t="s">
        <v>307</v>
      </c>
      <c r="H5" s="120" t="s">
        <v>748</v>
      </c>
      <c r="I5" s="16" t="s">
        <v>276</v>
      </c>
      <c r="J5" s="18"/>
      <c r="L5" s="147">
        <v>3</v>
      </c>
      <c r="M5" s="147">
        <v>1000002</v>
      </c>
      <c r="N5" s="147">
        <v>4204380</v>
      </c>
      <c r="O5" s="183">
        <v>44305</v>
      </c>
      <c r="P5" s="185">
        <v>44809.487187500003</v>
      </c>
      <c r="Q5" s="148" t="s">
        <v>1024</v>
      </c>
      <c r="R5" s="147">
        <v>32817</v>
      </c>
      <c r="S5" s="149"/>
      <c r="T5" s="147">
        <v>41.5</v>
      </c>
      <c r="U5" s="149"/>
      <c r="V5" s="147">
        <v>8713</v>
      </c>
      <c r="W5" s="147">
        <v>0.26</v>
      </c>
      <c r="X5" s="147">
        <v>1.1000000000000001</v>
      </c>
      <c r="Y5" s="147">
        <v>1</v>
      </c>
      <c r="Z5" s="149"/>
      <c r="AA5" s="149"/>
      <c r="AB5" s="148" t="s">
        <v>1025</v>
      </c>
      <c r="AC5" s="147">
        <v>0</v>
      </c>
      <c r="AD5" s="148" t="s">
        <v>1026</v>
      </c>
      <c r="AE5" s="147">
        <v>0</v>
      </c>
      <c r="AF5" s="148" t="s">
        <v>1027</v>
      </c>
      <c r="AG5" s="149"/>
      <c r="AH5" s="149"/>
    </row>
    <row r="6" spans="1:34" ht="37.5">
      <c r="A6" s="66" t="s">
        <v>93</v>
      </c>
      <c r="B6" s="66" t="s">
        <v>5</v>
      </c>
      <c r="C6" s="66"/>
      <c r="D6" s="66" t="s">
        <v>9</v>
      </c>
      <c r="E6" s="12" t="s">
        <v>148</v>
      </c>
      <c r="F6" s="15" t="s">
        <v>154</v>
      </c>
      <c r="G6" s="15" t="s">
        <v>391</v>
      </c>
      <c r="H6" s="15"/>
      <c r="I6" s="15"/>
      <c r="J6" s="17"/>
      <c r="L6" s="147">
        <v>4</v>
      </c>
      <c r="M6" s="147">
        <v>1000002</v>
      </c>
      <c r="N6" s="147">
        <v>4254663</v>
      </c>
      <c r="O6" s="183">
        <v>44749</v>
      </c>
      <c r="P6" s="185">
        <v>44943.347905092596</v>
      </c>
      <c r="Q6" s="148" t="s">
        <v>1028</v>
      </c>
      <c r="R6" s="147">
        <v>32817</v>
      </c>
      <c r="S6" s="149"/>
      <c r="T6" s="147">
        <v>41.7</v>
      </c>
      <c r="U6" s="149"/>
      <c r="V6" s="149"/>
      <c r="W6" s="147">
        <v>3.3</v>
      </c>
      <c r="X6" s="147">
        <v>25</v>
      </c>
      <c r="Y6" s="149"/>
      <c r="Z6" s="149"/>
      <c r="AA6" s="149"/>
      <c r="AB6" s="148" t="s">
        <v>1029</v>
      </c>
      <c r="AC6" s="147">
        <v>0</v>
      </c>
      <c r="AD6" s="148" t="s">
        <v>1030</v>
      </c>
      <c r="AE6" s="149"/>
      <c r="AF6" s="148" t="s">
        <v>1031</v>
      </c>
      <c r="AG6" s="149"/>
      <c r="AH6" s="149"/>
    </row>
    <row r="7" spans="1:34" ht="56.25">
      <c r="A7" s="12" t="s">
        <v>94</v>
      </c>
      <c r="B7" s="12" t="s">
        <v>6</v>
      </c>
      <c r="C7" s="12"/>
      <c r="D7" s="12" t="s">
        <v>10</v>
      </c>
      <c r="E7" s="12" t="s">
        <v>148</v>
      </c>
      <c r="F7" s="15" t="s">
        <v>390</v>
      </c>
      <c r="G7" s="15" t="s">
        <v>392</v>
      </c>
      <c r="H7" s="15"/>
      <c r="I7" s="15"/>
      <c r="J7" s="17"/>
      <c r="L7" s="147">
        <v>5</v>
      </c>
      <c r="M7" s="147">
        <v>1000002</v>
      </c>
      <c r="N7" s="147">
        <v>4322628</v>
      </c>
      <c r="O7" s="183">
        <v>45175</v>
      </c>
      <c r="P7" s="185">
        <v>44777.373645833337</v>
      </c>
      <c r="Q7" s="148" t="s">
        <v>1032</v>
      </c>
      <c r="R7" s="147">
        <v>32817</v>
      </c>
      <c r="S7" s="149"/>
      <c r="T7" s="147">
        <v>14.9</v>
      </c>
      <c r="U7" s="149"/>
      <c r="V7" s="149"/>
      <c r="W7" s="147">
        <v>4.5</v>
      </c>
      <c r="X7" s="147">
        <v>0.4</v>
      </c>
      <c r="Y7" s="147">
        <v>3</v>
      </c>
      <c r="Z7" s="149"/>
      <c r="AA7" s="149"/>
      <c r="AB7" s="148" t="s">
        <v>1033</v>
      </c>
      <c r="AC7" s="147">
        <v>0</v>
      </c>
      <c r="AD7" s="148" t="s">
        <v>1034</v>
      </c>
      <c r="AE7" s="149"/>
      <c r="AF7" s="148" t="s">
        <v>1035</v>
      </c>
      <c r="AG7" s="149"/>
      <c r="AH7" s="149"/>
    </row>
    <row r="8" spans="1:34" ht="37.5">
      <c r="A8" s="12" t="s">
        <v>95</v>
      </c>
      <c r="B8" s="12" t="s">
        <v>4</v>
      </c>
      <c r="C8" s="12">
        <v>10</v>
      </c>
      <c r="D8" s="12" t="s">
        <v>10</v>
      </c>
      <c r="E8" s="12" t="s">
        <v>148</v>
      </c>
      <c r="F8" s="15" t="s">
        <v>155</v>
      </c>
      <c r="G8" s="15" t="s">
        <v>393</v>
      </c>
      <c r="H8" s="15"/>
      <c r="I8" s="15"/>
      <c r="J8" s="17"/>
      <c r="L8" s="147">
        <v>6</v>
      </c>
      <c r="M8" s="147">
        <v>1000002</v>
      </c>
      <c r="N8" s="147">
        <v>4119650</v>
      </c>
      <c r="O8" s="183">
        <v>45279</v>
      </c>
      <c r="P8" s="185">
        <v>44563.376030092593</v>
      </c>
      <c r="Q8" s="148" t="s">
        <v>1036</v>
      </c>
      <c r="R8" s="147">
        <v>32817</v>
      </c>
      <c r="S8" s="149"/>
      <c r="T8" s="147">
        <v>1.7</v>
      </c>
      <c r="U8" s="149"/>
      <c r="V8" s="147">
        <v>8554</v>
      </c>
      <c r="W8" s="147">
        <v>4.5</v>
      </c>
      <c r="X8" s="147">
        <v>7.8</v>
      </c>
      <c r="Y8" s="147">
        <v>2</v>
      </c>
      <c r="Z8" s="149"/>
      <c r="AA8" s="149"/>
      <c r="AB8" s="148" t="s">
        <v>1037</v>
      </c>
      <c r="AC8" s="147">
        <v>0</v>
      </c>
      <c r="AD8" s="148" t="s">
        <v>1038</v>
      </c>
      <c r="AE8" s="147">
        <v>0</v>
      </c>
      <c r="AF8" s="148" t="s">
        <v>1039</v>
      </c>
      <c r="AG8" s="149"/>
      <c r="AH8" s="149"/>
    </row>
    <row r="9" spans="1:34" ht="56.25">
      <c r="A9" s="66" t="s">
        <v>316</v>
      </c>
      <c r="B9" s="66" t="s">
        <v>3</v>
      </c>
      <c r="C9" s="66"/>
      <c r="D9" s="66" t="s">
        <v>9</v>
      </c>
      <c r="E9" s="32" t="s">
        <v>150</v>
      </c>
      <c r="F9" s="12" t="s">
        <v>144</v>
      </c>
      <c r="G9" s="15" t="s">
        <v>365</v>
      </c>
      <c r="H9" s="15"/>
      <c r="I9" s="16" t="s">
        <v>69</v>
      </c>
      <c r="J9" s="17"/>
      <c r="L9" s="147">
        <v>7</v>
      </c>
      <c r="M9" s="147">
        <v>1000004</v>
      </c>
      <c r="N9" s="147">
        <v>4153001</v>
      </c>
      <c r="O9" s="183">
        <v>44085</v>
      </c>
      <c r="P9" s="185">
        <v>45001.512106481481</v>
      </c>
      <c r="Q9" s="148" t="s">
        <v>1040</v>
      </c>
      <c r="R9" s="147">
        <v>32817</v>
      </c>
      <c r="S9" s="149"/>
      <c r="T9" s="147">
        <v>0.66</v>
      </c>
      <c r="U9" s="149"/>
      <c r="V9" s="149"/>
      <c r="W9" s="147">
        <v>0.85</v>
      </c>
      <c r="X9" s="147">
        <v>98.2</v>
      </c>
      <c r="Y9" s="147">
        <v>8</v>
      </c>
      <c r="Z9" s="149"/>
      <c r="AA9" s="149"/>
      <c r="AB9" s="148" t="s">
        <v>1041</v>
      </c>
      <c r="AC9" s="147">
        <v>0</v>
      </c>
      <c r="AD9" s="148" t="s">
        <v>1018</v>
      </c>
      <c r="AE9" s="149"/>
      <c r="AF9" s="148" t="s">
        <v>1042</v>
      </c>
      <c r="AG9" s="149"/>
      <c r="AH9" s="149"/>
    </row>
    <row r="10" spans="1:34" ht="56.25">
      <c r="A10" s="12" t="s">
        <v>317</v>
      </c>
      <c r="B10" s="12" t="s">
        <v>3</v>
      </c>
      <c r="C10" s="12"/>
      <c r="D10" s="12" t="s">
        <v>10</v>
      </c>
      <c r="E10" s="29" t="s">
        <v>204</v>
      </c>
      <c r="F10" s="15" t="s">
        <v>394</v>
      </c>
      <c r="G10" s="15" t="s">
        <v>1849</v>
      </c>
      <c r="H10" s="120" t="s">
        <v>749</v>
      </c>
      <c r="I10" s="16" t="s">
        <v>135</v>
      </c>
      <c r="J10" s="17"/>
      <c r="L10" s="147">
        <v>8</v>
      </c>
      <c r="M10" s="147">
        <v>1000004</v>
      </c>
      <c r="N10" s="147">
        <v>37398605</v>
      </c>
      <c r="O10" s="183">
        <v>44085</v>
      </c>
      <c r="P10" s="185">
        <v>45001.512106481481</v>
      </c>
      <c r="Q10" s="148" t="s">
        <v>1040</v>
      </c>
      <c r="R10" s="147">
        <v>32817</v>
      </c>
      <c r="S10" s="149"/>
      <c r="T10" s="147">
        <v>0.66</v>
      </c>
      <c r="U10" s="149"/>
      <c r="V10" s="149"/>
      <c r="W10" s="147">
        <v>0.85</v>
      </c>
      <c r="X10" s="147">
        <v>98.2</v>
      </c>
      <c r="Y10" s="147">
        <v>8</v>
      </c>
      <c r="Z10" s="149"/>
      <c r="AA10" s="149"/>
      <c r="AB10" s="148" t="s">
        <v>1041</v>
      </c>
      <c r="AC10" s="147">
        <v>0</v>
      </c>
      <c r="AD10" s="148" t="s">
        <v>1018</v>
      </c>
      <c r="AE10" s="149"/>
      <c r="AF10" s="148" t="s">
        <v>1042</v>
      </c>
      <c r="AG10" s="149"/>
      <c r="AH10" s="149"/>
    </row>
    <row r="11" spans="1:34" ht="56.25">
      <c r="A11" s="12" t="s">
        <v>88</v>
      </c>
      <c r="B11" s="12" t="s">
        <v>7</v>
      </c>
      <c r="C11" s="12"/>
      <c r="D11" s="12" t="s">
        <v>10</v>
      </c>
      <c r="E11" s="12" t="s">
        <v>148</v>
      </c>
      <c r="F11" s="15" t="s">
        <v>1848</v>
      </c>
      <c r="G11" s="15" t="s">
        <v>1850</v>
      </c>
      <c r="H11" s="15"/>
      <c r="I11" s="15"/>
      <c r="J11" s="17"/>
      <c r="L11" s="147">
        <v>9</v>
      </c>
      <c r="M11" s="147">
        <v>1000004</v>
      </c>
      <c r="N11" s="147">
        <v>4030871</v>
      </c>
      <c r="O11" s="183">
        <v>44141</v>
      </c>
      <c r="P11" s="185">
        <v>44508.382905092592</v>
      </c>
      <c r="Q11" s="148" t="s">
        <v>1043</v>
      </c>
      <c r="R11" s="147">
        <v>32817</v>
      </c>
      <c r="S11" s="149"/>
      <c r="T11" s="147">
        <v>31.1</v>
      </c>
      <c r="U11" s="149"/>
      <c r="V11" s="149"/>
      <c r="W11" s="147">
        <v>0.9</v>
      </c>
      <c r="X11" s="147">
        <v>30</v>
      </c>
      <c r="Y11" s="147">
        <v>6</v>
      </c>
      <c r="Z11" s="149"/>
      <c r="AA11" s="149"/>
      <c r="AB11" s="148" t="s">
        <v>1044</v>
      </c>
      <c r="AC11" s="147">
        <v>0</v>
      </c>
      <c r="AD11" s="148" t="s">
        <v>1045</v>
      </c>
      <c r="AE11" s="149"/>
      <c r="AF11" s="148" t="s">
        <v>1046</v>
      </c>
      <c r="AG11" s="149"/>
      <c r="AH11" s="149"/>
    </row>
    <row r="12" spans="1:34" ht="56.25">
      <c r="A12" s="12" t="s">
        <v>318</v>
      </c>
      <c r="B12" s="12" t="s">
        <v>3</v>
      </c>
      <c r="C12" s="12"/>
      <c r="D12" s="12" t="s">
        <v>10</v>
      </c>
      <c r="E12" s="29" t="s">
        <v>204</v>
      </c>
      <c r="F12" s="15" t="s">
        <v>394</v>
      </c>
      <c r="G12" s="15" t="s">
        <v>395</v>
      </c>
      <c r="H12" s="120" t="s">
        <v>750</v>
      </c>
      <c r="I12" s="16" t="s">
        <v>1867</v>
      </c>
      <c r="J12" s="17"/>
      <c r="L12" s="147">
        <v>10</v>
      </c>
      <c r="M12" s="147">
        <v>1000004</v>
      </c>
      <c r="N12" s="147">
        <v>1002244</v>
      </c>
      <c r="O12" s="183">
        <v>44169</v>
      </c>
      <c r="P12" s="185">
        <v>44880.297847222224</v>
      </c>
      <c r="Q12" s="148" t="s">
        <v>1047</v>
      </c>
      <c r="R12" s="147">
        <v>32817</v>
      </c>
      <c r="S12" s="149"/>
      <c r="T12" s="147">
        <v>4.0199999999999996</v>
      </c>
      <c r="U12" s="149"/>
      <c r="V12" s="149"/>
      <c r="W12" s="147">
        <v>138</v>
      </c>
      <c r="X12" s="147">
        <v>1.65</v>
      </c>
      <c r="Y12" s="149"/>
      <c r="Z12" s="149"/>
      <c r="AA12" s="149"/>
      <c r="AB12" s="148" t="s">
        <v>1048</v>
      </c>
      <c r="AC12" s="147">
        <v>0</v>
      </c>
      <c r="AD12" s="148" t="s">
        <v>1049</v>
      </c>
      <c r="AE12" s="149"/>
      <c r="AF12" s="148" t="s">
        <v>1050</v>
      </c>
      <c r="AG12" s="149"/>
      <c r="AH12" s="149"/>
    </row>
    <row r="13" spans="1:34" ht="56.25">
      <c r="A13" s="12" t="s">
        <v>319</v>
      </c>
      <c r="B13" s="12" t="s">
        <v>3</v>
      </c>
      <c r="C13" s="12"/>
      <c r="D13" s="12" t="s">
        <v>10</v>
      </c>
      <c r="E13" s="30" t="s">
        <v>204</v>
      </c>
      <c r="F13" s="15" t="s">
        <v>306</v>
      </c>
      <c r="G13" s="15" t="s">
        <v>396</v>
      </c>
      <c r="H13" s="120" t="s">
        <v>751</v>
      </c>
      <c r="I13" s="16" t="s">
        <v>277</v>
      </c>
      <c r="J13" s="18"/>
      <c r="L13" s="147">
        <v>11</v>
      </c>
      <c r="M13" s="147">
        <v>1000004</v>
      </c>
      <c r="N13" s="147">
        <v>4261078</v>
      </c>
      <c r="O13" s="183">
        <v>44187</v>
      </c>
      <c r="P13" s="185">
        <v>45376.410451388889</v>
      </c>
      <c r="Q13" s="148" t="s">
        <v>1051</v>
      </c>
      <c r="R13" s="147">
        <v>32817</v>
      </c>
      <c r="S13" s="149"/>
      <c r="T13" s="147">
        <v>45</v>
      </c>
      <c r="U13" s="149"/>
      <c r="V13" s="149"/>
      <c r="W13" s="147">
        <v>33</v>
      </c>
      <c r="X13" s="147">
        <v>18.8</v>
      </c>
      <c r="Y13" s="147">
        <v>2</v>
      </c>
      <c r="Z13" s="149"/>
      <c r="AA13" s="149"/>
      <c r="AB13" s="148" t="s">
        <v>1052</v>
      </c>
      <c r="AC13" s="147">
        <v>0</v>
      </c>
      <c r="AD13" s="148" t="s">
        <v>1053</v>
      </c>
      <c r="AE13" s="149"/>
      <c r="AF13" s="148" t="s">
        <v>1054</v>
      </c>
      <c r="AG13" s="149"/>
      <c r="AH13" s="149"/>
    </row>
    <row r="14" spans="1:34" ht="37.5">
      <c r="A14" s="12" t="s">
        <v>96</v>
      </c>
      <c r="B14" s="12" t="s">
        <v>7</v>
      </c>
      <c r="C14" s="12"/>
      <c r="D14" s="12" t="s">
        <v>10</v>
      </c>
      <c r="E14" s="12" t="s">
        <v>148</v>
      </c>
      <c r="F14" s="15" t="s">
        <v>156</v>
      </c>
      <c r="G14" s="15" t="s">
        <v>398</v>
      </c>
      <c r="H14" s="15"/>
      <c r="I14" s="15"/>
      <c r="J14" s="17"/>
      <c r="L14" s="147">
        <v>12</v>
      </c>
      <c r="M14" s="147">
        <v>1000004</v>
      </c>
      <c r="N14" s="147">
        <v>4215722</v>
      </c>
      <c r="O14" s="183">
        <v>44446</v>
      </c>
      <c r="P14" s="185">
        <v>44112.418124999997</v>
      </c>
      <c r="Q14" s="148" t="s">
        <v>1055</v>
      </c>
      <c r="R14" s="147">
        <v>32817</v>
      </c>
      <c r="S14" s="149"/>
      <c r="T14" s="147">
        <v>93.3</v>
      </c>
      <c r="U14" s="149"/>
      <c r="V14" s="149"/>
      <c r="W14" s="147">
        <v>20</v>
      </c>
      <c r="X14" s="147">
        <v>130</v>
      </c>
      <c r="Y14" s="147">
        <v>5</v>
      </c>
      <c r="Z14" s="149"/>
      <c r="AA14" s="149"/>
      <c r="AB14" s="148" t="s">
        <v>1056</v>
      </c>
      <c r="AC14" s="147">
        <v>0</v>
      </c>
      <c r="AD14" s="148" t="s">
        <v>1030</v>
      </c>
      <c r="AE14" s="149"/>
      <c r="AF14" s="148" t="s">
        <v>1057</v>
      </c>
      <c r="AG14" s="149"/>
      <c r="AH14" s="149"/>
    </row>
    <row r="15" spans="1:34" ht="37.5">
      <c r="A15" s="12" t="s">
        <v>97</v>
      </c>
      <c r="B15" s="12" t="s">
        <v>7</v>
      </c>
      <c r="C15" s="12"/>
      <c r="D15" s="12" t="s">
        <v>10</v>
      </c>
      <c r="E15" s="12" t="s">
        <v>148</v>
      </c>
      <c r="F15" s="15" t="s">
        <v>157</v>
      </c>
      <c r="G15" s="15" t="s">
        <v>397</v>
      </c>
      <c r="H15" s="15"/>
      <c r="I15" s="15"/>
      <c r="J15" s="17"/>
      <c r="L15" s="147">
        <v>13</v>
      </c>
      <c r="M15" s="147">
        <v>1000004</v>
      </c>
      <c r="N15" s="147">
        <v>4184637</v>
      </c>
      <c r="O15" s="183">
        <v>44561</v>
      </c>
      <c r="P15" s="185">
        <v>43955.366423611114</v>
      </c>
      <c r="Q15" s="148" t="s">
        <v>1058</v>
      </c>
      <c r="R15" s="147">
        <v>32817</v>
      </c>
      <c r="S15" s="149"/>
      <c r="T15" s="147">
        <v>1.22</v>
      </c>
      <c r="U15" s="149"/>
      <c r="V15" s="149"/>
      <c r="W15" s="147">
        <v>80</v>
      </c>
      <c r="X15" s="147">
        <v>16</v>
      </c>
      <c r="Y15" s="147">
        <v>7</v>
      </c>
      <c r="Z15" s="149"/>
      <c r="AA15" s="149"/>
      <c r="AB15" s="148" t="s">
        <v>1059</v>
      </c>
      <c r="AC15" s="147">
        <v>0</v>
      </c>
      <c r="AD15" s="148" t="s">
        <v>1060</v>
      </c>
      <c r="AE15" s="149"/>
      <c r="AF15" s="148" t="s">
        <v>1061</v>
      </c>
      <c r="AG15" s="149"/>
      <c r="AH15" s="149"/>
    </row>
    <row r="16" spans="1:34" ht="37.5">
      <c r="A16" s="12" t="s">
        <v>56</v>
      </c>
      <c r="B16" s="12" t="s">
        <v>3</v>
      </c>
      <c r="C16" s="12"/>
      <c r="D16" s="12" t="s">
        <v>10</v>
      </c>
      <c r="E16" s="29" t="s">
        <v>204</v>
      </c>
      <c r="F16" s="15" t="s">
        <v>399</v>
      </c>
      <c r="G16" s="15" t="s">
        <v>341</v>
      </c>
      <c r="H16" s="15"/>
      <c r="I16" s="15"/>
      <c r="J16" s="17"/>
      <c r="L16" s="147">
        <v>14</v>
      </c>
      <c r="M16" s="147">
        <v>1000004</v>
      </c>
      <c r="N16" s="147">
        <v>4218675</v>
      </c>
      <c r="O16" s="183">
        <v>44683</v>
      </c>
      <c r="P16" s="185">
        <v>44707.376805555556</v>
      </c>
      <c r="Q16" s="148" t="s">
        <v>1062</v>
      </c>
      <c r="R16" s="147">
        <v>32817</v>
      </c>
      <c r="S16" s="149"/>
      <c r="T16" s="147">
        <v>4.29</v>
      </c>
      <c r="U16" s="149"/>
      <c r="V16" s="149"/>
      <c r="W16" s="147">
        <v>6.6</v>
      </c>
      <c r="X16" s="147">
        <v>0</v>
      </c>
      <c r="Y16" s="147">
        <v>1</v>
      </c>
      <c r="Z16" s="149"/>
      <c r="AA16" s="149"/>
      <c r="AB16" s="148" t="s">
        <v>1063</v>
      </c>
      <c r="AC16" s="147">
        <v>0</v>
      </c>
      <c r="AD16" s="148" t="s">
        <v>1064</v>
      </c>
      <c r="AE16" s="149"/>
      <c r="AF16" s="148" t="s">
        <v>1065</v>
      </c>
      <c r="AG16" s="149"/>
      <c r="AH16" s="149"/>
    </row>
    <row r="17" spans="1:34">
      <c r="A17" s="61" t="s">
        <v>76</v>
      </c>
      <c r="B17" s="61" t="s">
        <v>3</v>
      </c>
      <c r="C17" s="61"/>
      <c r="D17" s="61" t="s">
        <v>10</v>
      </c>
      <c r="E17" s="61"/>
      <c r="F17" s="61"/>
      <c r="G17" s="62" t="s">
        <v>68</v>
      </c>
      <c r="H17" s="62"/>
      <c r="I17" s="62"/>
      <c r="J17" s="17"/>
      <c r="L17" s="147">
        <v>15</v>
      </c>
      <c r="M17" s="147">
        <v>1000004</v>
      </c>
      <c r="N17" s="147">
        <v>4017058</v>
      </c>
      <c r="O17" s="183">
        <v>44749</v>
      </c>
      <c r="P17" s="185">
        <v>45138.371840277781</v>
      </c>
      <c r="Q17" s="148" t="s">
        <v>1066</v>
      </c>
      <c r="R17" s="147">
        <v>32817</v>
      </c>
      <c r="S17" s="149"/>
      <c r="T17" s="147">
        <v>250</v>
      </c>
      <c r="U17" s="149"/>
      <c r="V17" s="147">
        <v>8554</v>
      </c>
      <c r="W17" s="147">
        <v>0.9</v>
      </c>
      <c r="X17" s="147">
        <v>18.8</v>
      </c>
      <c r="Y17" s="149"/>
      <c r="Z17" s="149"/>
      <c r="AA17" s="149"/>
      <c r="AB17" s="148" t="s">
        <v>755</v>
      </c>
      <c r="AC17" s="147">
        <v>0</v>
      </c>
      <c r="AD17" s="148" t="s">
        <v>1038</v>
      </c>
      <c r="AE17" s="147">
        <v>0</v>
      </c>
      <c r="AF17" s="148" t="s">
        <v>1067</v>
      </c>
      <c r="AG17" s="149"/>
      <c r="AH17" s="149"/>
    </row>
    <row r="18" spans="1:34">
      <c r="A18" s="61" t="s">
        <v>77</v>
      </c>
      <c r="B18" s="61" t="s">
        <v>3</v>
      </c>
      <c r="C18" s="61"/>
      <c r="D18" s="61" t="s">
        <v>10</v>
      </c>
      <c r="E18" s="61"/>
      <c r="F18" s="61"/>
      <c r="G18" s="62" t="s">
        <v>68</v>
      </c>
      <c r="H18" s="62"/>
      <c r="I18" s="62"/>
      <c r="J18" s="17"/>
      <c r="L18" s="147">
        <v>16</v>
      </c>
      <c r="M18" s="147">
        <v>1000004</v>
      </c>
      <c r="N18" s="147">
        <v>3033543</v>
      </c>
      <c r="O18" s="183">
        <v>44753</v>
      </c>
      <c r="P18" s="185">
        <v>45204.494895833333</v>
      </c>
      <c r="Q18" s="148" t="s">
        <v>1068</v>
      </c>
      <c r="R18" s="147">
        <v>32817</v>
      </c>
      <c r="S18" s="149"/>
      <c r="T18" s="147">
        <v>3</v>
      </c>
      <c r="U18" s="149"/>
      <c r="V18" s="147">
        <v>8713</v>
      </c>
      <c r="W18" s="147">
        <v>8</v>
      </c>
      <c r="X18" s="147">
        <v>4.8</v>
      </c>
      <c r="Y18" s="147">
        <v>16</v>
      </c>
      <c r="Z18" s="149"/>
      <c r="AA18" s="149"/>
      <c r="AB18" s="148" t="s">
        <v>1069</v>
      </c>
      <c r="AC18" s="147">
        <v>0</v>
      </c>
      <c r="AD18" s="148" t="s">
        <v>1026</v>
      </c>
      <c r="AE18" s="147">
        <v>0</v>
      </c>
      <c r="AF18" s="148" t="s">
        <v>1070</v>
      </c>
      <c r="AG18" s="149"/>
      <c r="AH18" s="149"/>
    </row>
    <row r="19" spans="1:34" ht="112.5">
      <c r="A19" s="12" t="s">
        <v>202</v>
      </c>
      <c r="B19" s="12" t="s">
        <v>4</v>
      </c>
      <c r="C19" s="12">
        <v>50</v>
      </c>
      <c r="D19" s="12" t="s">
        <v>10</v>
      </c>
      <c r="E19" s="12" t="s">
        <v>148</v>
      </c>
      <c r="F19" s="15" t="s">
        <v>1897</v>
      </c>
      <c r="G19" s="15" t="s">
        <v>1898</v>
      </c>
      <c r="H19" s="15"/>
      <c r="I19" s="15"/>
      <c r="J19" s="17"/>
      <c r="L19" s="147">
        <v>17</v>
      </c>
      <c r="M19" s="147">
        <v>1000004</v>
      </c>
      <c r="N19" s="147">
        <v>4235028</v>
      </c>
      <c r="O19" s="183">
        <v>44767</v>
      </c>
      <c r="P19" s="185">
        <v>44200.341979166667</v>
      </c>
      <c r="Q19" s="148" t="s">
        <v>1071</v>
      </c>
      <c r="R19" s="147">
        <v>32817</v>
      </c>
      <c r="S19" s="149"/>
      <c r="T19" s="147">
        <v>42.4</v>
      </c>
      <c r="U19" s="149"/>
      <c r="V19" s="149"/>
      <c r="W19" s="147">
        <v>0.63</v>
      </c>
      <c r="X19" s="147">
        <v>10.1</v>
      </c>
      <c r="Y19" s="149"/>
      <c r="Z19" s="149"/>
      <c r="AA19" s="149"/>
      <c r="AB19" s="148" t="s">
        <v>1072</v>
      </c>
      <c r="AC19" s="147">
        <v>0</v>
      </c>
      <c r="AD19" s="148" t="s">
        <v>1073</v>
      </c>
      <c r="AE19" s="149"/>
      <c r="AF19" s="148" t="s">
        <v>1074</v>
      </c>
      <c r="AG19" s="149"/>
      <c r="AH19" s="149"/>
    </row>
    <row r="20" spans="1:34" ht="66">
      <c r="A20" s="12" t="s">
        <v>320</v>
      </c>
      <c r="B20" s="12" t="s">
        <v>3</v>
      </c>
      <c r="C20" s="12"/>
      <c r="D20" s="12" t="s">
        <v>10</v>
      </c>
      <c r="E20" s="30" t="s">
        <v>204</v>
      </c>
      <c r="F20" s="15" t="s">
        <v>304</v>
      </c>
      <c r="G20" s="15" t="s">
        <v>402</v>
      </c>
      <c r="H20" s="120" t="s">
        <v>748</v>
      </c>
      <c r="I20" s="16" t="s">
        <v>276</v>
      </c>
      <c r="J20" s="18"/>
      <c r="L20" s="147">
        <v>18</v>
      </c>
      <c r="M20" s="147">
        <v>1000004</v>
      </c>
      <c r="N20" s="147">
        <v>3020460</v>
      </c>
      <c r="O20" s="183">
        <v>44866</v>
      </c>
      <c r="P20" s="185">
        <v>44823.488692129627</v>
      </c>
      <c r="Q20" s="148" t="s">
        <v>1075</v>
      </c>
      <c r="R20" s="147">
        <v>32817</v>
      </c>
      <c r="S20" s="149"/>
      <c r="T20" s="147">
        <v>171</v>
      </c>
      <c r="U20" s="149"/>
      <c r="V20" s="149"/>
      <c r="W20" s="147">
        <v>1.32</v>
      </c>
      <c r="X20" s="147">
        <v>5</v>
      </c>
      <c r="Y20" s="147">
        <v>11</v>
      </c>
      <c r="Z20" s="149"/>
      <c r="AA20" s="149"/>
      <c r="AB20" s="148" t="s">
        <v>1076</v>
      </c>
      <c r="AC20" s="147">
        <v>0</v>
      </c>
      <c r="AD20" s="148" t="s">
        <v>1077</v>
      </c>
      <c r="AE20" s="149"/>
      <c r="AF20" s="148" t="s">
        <v>1078</v>
      </c>
      <c r="AG20" s="149"/>
      <c r="AH20" s="149"/>
    </row>
    <row r="21" spans="1:34" ht="37.5">
      <c r="A21" s="12" t="s">
        <v>89</v>
      </c>
      <c r="B21" s="12" t="s">
        <v>4</v>
      </c>
      <c r="C21" s="12">
        <v>50</v>
      </c>
      <c r="D21" s="12" t="s">
        <v>10</v>
      </c>
      <c r="E21" s="12" t="s">
        <v>148</v>
      </c>
      <c r="F21" s="15" t="s">
        <v>306</v>
      </c>
      <c r="G21" s="15" t="s">
        <v>225</v>
      </c>
      <c r="H21" s="15"/>
      <c r="I21" s="15"/>
      <c r="J21" s="17"/>
      <c r="L21" s="147">
        <v>19</v>
      </c>
      <c r="M21" s="147">
        <v>1000004</v>
      </c>
      <c r="N21" s="147">
        <v>4047051</v>
      </c>
      <c r="O21" s="183">
        <v>44889</v>
      </c>
      <c r="P21" s="185">
        <v>45315.532951388886</v>
      </c>
      <c r="Q21" s="148" t="s">
        <v>1079</v>
      </c>
      <c r="R21" s="147">
        <v>32817</v>
      </c>
      <c r="S21" s="149"/>
      <c r="T21" s="147">
        <v>1.26</v>
      </c>
      <c r="U21" s="149"/>
      <c r="V21" s="147">
        <v>8583</v>
      </c>
      <c r="W21" s="147">
        <v>3.7</v>
      </c>
      <c r="X21" s="147">
        <v>4.9000000000000002E-2</v>
      </c>
      <c r="Y21" s="147">
        <v>1</v>
      </c>
      <c r="Z21" s="149"/>
      <c r="AA21" s="149"/>
      <c r="AB21" s="148" t="s">
        <v>1080</v>
      </c>
      <c r="AC21" s="147">
        <v>0</v>
      </c>
      <c r="AD21" s="148" t="s">
        <v>1081</v>
      </c>
      <c r="AE21" s="147">
        <v>0</v>
      </c>
      <c r="AF21" s="148" t="s">
        <v>1082</v>
      </c>
      <c r="AG21" s="149"/>
      <c r="AH21" s="149"/>
    </row>
    <row r="22" spans="1:34" ht="56.25">
      <c r="A22" s="12" t="s">
        <v>321</v>
      </c>
      <c r="B22" s="12" t="s">
        <v>3</v>
      </c>
      <c r="C22" s="12"/>
      <c r="D22" s="12" t="s">
        <v>10</v>
      </c>
      <c r="E22" s="30" t="s">
        <v>204</v>
      </c>
      <c r="F22" s="15" t="s">
        <v>306</v>
      </c>
      <c r="G22" s="15" t="s">
        <v>401</v>
      </c>
      <c r="H22" s="120" t="s">
        <v>751</v>
      </c>
      <c r="I22" s="16" t="s">
        <v>277</v>
      </c>
      <c r="J22" s="17"/>
      <c r="L22" s="147">
        <v>20</v>
      </c>
      <c r="M22" s="147">
        <v>1000004</v>
      </c>
      <c r="N22" s="147">
        <v>4272032</v>
      </c>
      <c r="O22" s="183">
        <v>45278</v>
      </c>
      <c r="P22" s="185">
        <v>44630.367407407408</v>
      </c>
      <c r="Q22" s="148" t="s">
        <v>1083</v>
      </c>
      <c r="R22" s="147">
        <v>32817</v>
      </c>
      <c r="S22" s="149"/>
      <c r="T22" s="147">
        <v>92.8</v>
      </c>
      <c r="U22" s="149"/>
      <c r="V22" s="149"/>
      <c r="W22" s="147">
        <v>122</v>
      </c>
      <c r="X22" s="147">
        <v>26.3</v>
      </c>
      <c r="Y22" s="147">
        <v>2</v>
      </c>
      <c r="Z22" s="149"/>
      <c r="AA22" s="149"/>
      <c r="AB22" s="148" t="s">
        <v>1084</v>
      </c>
      <c r="AC22" s="147">
        <v>0</v>
      </c>
      <c r="AD22" s="148" t="s">
        <v>1045</v>
      </c>
      <c r="AE22" s="149"/>
      <c r="AF22" s="148" t="s">
        <v>1085</v>
      </c>
      <c r="AG22" s="149"/>
      <c r="AH22" s="149"/>
    </row>
    <row r="23" spans="1:34" ht="37.5">
      <c r="A23" s="12" t="s">
        <v>90</v>
      </c>
      <c r="B23" s="12" t="s">
        <v>4</v>
      </c>
      <c r="C23" s="12">
        <v>50</v>
      </c>
      <c r="D23" s="12" t="s">
        <v>10</v>
      </c>
      <c r="E23" s="12" t="s">
        <v>148</v>
      </c>
      <c r="F23" s="15" t="s">
        <v>305</v>
      </c>
      <c r="G23" s="15" t="s">
        <v>403</v>
      </c>
      <c r="H23" s="15"/>
      <c r="I23" s="15"/>
      <c r="J23" s="17"/>
      <c r="L23" s="147">
        <v>21</v>
      </c>
      <c r="M23" s="147">
        <v>1000005</v>
      </c>
      <c r="N23" s="147">
        <v>4097664</v>
      </c>
      <c r="O23" s="183">
        <v>44043</v>
      </c>
      <c r="P23" s="185">
        <v>43978.527916666666</v>
      </c>
      <c r="Q23" s="148" t="s">
        <v>1086</v>
      </c>
      <c r="R23" s="147">
        <v>32817</v>
      </c>
      <c r="S23" s="149"/>
      <c r="T23" s="147">
        <v>228</v>
      </c>
      <c r="U23" s="149"/>
      <c r="V23" s="149"/>
      <c r="W23" s="147">
        <v>386</v>
      </c>
      <c r="X23" s="147">
        <v>23</v>
      </c>
      <c r="Y23" s="147">
        <v>2</v>
      </c>
      <c r="Z23" s="149"/>
      <c r="AA23" s="149"/>
      <c r="AB23" s="148" t="s">
        <v>1087</v>
      </c>
      <c r="AC23" s="147">
        <v>0</v>
      </c>
      <c r="AD23" s="148" t="s">
        <v>1088</v>
      </c>
      <c r="AE23" s="149"/>
      <c r="AF23" s="148" t="s">
        <v>1089</v>
      </c>
      <c r="AG23" s="149"/>
      <c r="AH23" s="149"/>
    </row>
    <row r="24" spans="1:34">
      <c r="A24" s="61" t="s">
        <v>98</v>
      </c>
      <c r="B24" s="61" t="s">
        <v>91</v>
      </c>
      <c r="C24" s="61"/>
      <c r="D24" s="61" t="s">
        <v>10</v>
      </c>
      <c r="E24" s="61"/>
      <c r="F24" s="61"/>
      <c r="G24" s="62" t="s">
        <v>68</v>
      </c>
      <c r="H24" s="62"/>
      <c r="I24" s="62"/>
      <c r="J24" s="17"/>
      <c r="L24" s="147">
        <v>22</v>
      </c>
      <c r="M24" s="147">
        <v>1000005</v>
      </c>
      <c r="N24" s="147">
        <v>4306252</v>
      </c>
      <c r="O24" s="183">
        <v>44081</v>
      </c>
      <c r="P24" s="185">
        <v>45076.361168981479</v>
      </c>
      <c r="Q24" s="148" t="s">
        <v>1090</v>
      </c>
      <c r="R24" s="147">
        <v>32817</v>
      </c>
      <c r="S24" s="149"/>
      <c r="T24" s="147">
        <v>0.19</v>
      </c>
      <c r="U24" s="149"/>
      <c r="V24" s="149"/>
      <c r="W24" s="147">
        <v>3.6</v>
      </c>
      <c r="X24" s="147">
        <v>109</v>
      </c>
      <c r="Y24" s="147">
        <v>1</v>
      </c>
      <c r="Z24" s="149"/>
      <c r="AA24" s="149"/>
      <c r="AB24" s="148" t="s">
        <v>1091</v>
      </c>
      <c r="AC24" s="147">
        <v>0</v>
      </c>
      <c r="AD24" s="148" t="s">
        <v>1092</v>
      </c>
      <c r="AE24" s="149"/>
      <c r="AF24" s="148" t="s">
        <v>1093</v>
      </c>
      <c r="AG24" s="149"/>
      <c r="AH24" s="149"/>
    </row>
    <row r="25" spans="1:34">
      <c r="A25" s="61" t="s">
        <v>322</v>
      </c>
      <c r="B25" s="61" t="s">
        <v>3</v>
      </c>
      <c r="C25" s="61"/>
      <c r="D25" s="61" t="s">
        <v>10</v>
      </c>
      <c r="E25" s="61"/>
      <c r="F25" s="61"/>
      <c r="G25" s="62" t="s">
        <v>68</v>
      </c>
      <c r="H25" s="62"/>
      <c r="I25" s="62"/>
      <c r="J25" s="17"/>
      <c r="L25" s="147">
        <v>23</v>
      </c>
      <c r="M25" s="147">
        <v>1000005</v>
      </c>
      <c r="N25" s="147">
        <v>1002244</v>
      </c>
      <c r="O25" s="183">
        <v>44284</v>
      </c>
      <c r="P25" s="185">
        <v>45328.298946759256</v>
      </c>
      <c r="Q25" s="148" t="s">
        <v>1094</v>
      </c>
      <c r="R25" s="147">
        <v>32817</v>
      </c>
      <c r="S25" s="149"/>
      <c r="T25" s="147">
        <v>1.07</v>
      </c>
      <c r="U25" s="149"/>
      <c r="V25" s="149"/>
      <c r="W25" s="147">
        <v>20</v>
      </c>
      <c r="X25" s="147">
        <v>2</v>
      </c>
      <c r="Y25" s="147">
        <v>4</v>
      </c>
      <c r="Z25" s="149"/>
      <c r="AA25" s="149"/>
      <c r="AB25" s="148" t="s">
        <v>1095</v>
      </c>
      <c r="AC25" s="147">
        <v>0</v>
      </c>
      <c r="AD25" s="148" t="s">
        <v>755</v>
      </c>
      <c r="AE25" s="149"/>
      <c r="AF25" s="148" t="s">
        <v>1096</v>
      </c>
      <c r="AG25" s="149"/>
      <c r="AH25" s="149"/>
    </row>
    <row r="26" spans="1:34">
      <c r="L26" s="147">
        <v>24</v>
      </c>
      <c r="M26" s="147">
        <v>1000005</v>
      </c>
      <c r="N26" s="147">
        <v>4013180</v>
      </c>
      <c r="O26" s="183">
        <v>44582</v>
      </c>
      <c r="P26" s="185">
        <v>45147.388796296298</v>
      </c>
      <c r="Q26" s="148" t="s">
        <v>1097</v>
      </c>
      <c r="R26" s="147">
        <v>32817</v>
      </c>
      <c r="S26" s="147">
        <v>4171756</v>
      </c>
      <c r="T26" s="147">
        <v>33.200000000000003</v>
      </c>
      <c r="U26" s="149"/>
      <c r="V26" s="149"/>
      <c r="W26" s="147">
        <v>3.2</v>
      </c>
      <c r="X26" s="147">
        <v>132</v>
      </c>
      <c r="Y26" s="147">
        <v>8</v>
      </c>
      <c r="Z26" s="149"/>
      <c r="AA26" s="149"/>
      <c r="AB26" s="148" t="s">
        <v>1098</v>
      </c>
      <c r="AC26" s="147">
        <v>0</v>
      </c>
      <c r="AD26" s="148" t="s">
        <v>1034</v>
      </c>
      <c r="AE26" s="149"/>
      <c r="AF26" s="148" t="s">
        <v>1099</v>
      </c>
      <c r="AG26" s="149"/>
      <c r="AH26" s="149"/>
    </row>
    <row r="27" spans="1:34">
      <c r="A27" s="250" t="s">
        <v>1812</v>
      </c>
      <c r="L27" s="147">
        <v>25</v>
      </c>
      <c r="M27" s="147">
        <v>1000005</v>
      </c>
      <c r="N27" s="147">
        <v>44789161</v>
      </c>
      <c r="O27" s="183">
        <v>44662</v>
      </c>
      <c r="P27" s="185">
        <v>43949.410243055558</v>
      </c>
      <c r="Q27" s="148" t="s">
        <v>1100</v>
      </c>
      <c r="R27" s="147">
        <v>32817</v>
      </c>
      <c r="S27" s="149"/>
      <c r="T27" s="147">
        <v>309</v>
      </c>
      <c r="U27" s="149"/>
      <c r="V27" s="149"/>
      <c r="W27" s="147">
        <v>2.7</v>
      </c>
      <c r="X27" s="147">
        <v>8.1</v>
      </c>
      <c r="Y27" s="149"/>
      <c r="Z27" s="149"/>
      <c r="AA27" s="149"/>
      <c r="AB27" s="148" t="s">
        <v>1101</v>
      </c>
      <c r="AC27" s="147">
        <v>0</v>
      </c>
      <c r="AD27" s="148" t="s">
        <v>1077</v>
      </c>
      <c r="AE27" s="149"/>
      <c r="AF27" s="148" t="s">
        <v>1102</v>
      </c>
      <c r="AG27" s="149"/>
      <c r="AH27" s="149"/>
    </row>
    <row r="28" spans="1:34">
      <c r="A28" s="250" t="s">
        <v>1811</v>
      </c>
      <c r="L28" s="147">
        <v>26</v>
      </c>
      <c r="M28" s="147">
        <v>1000005</v>
      </c>
      <c r="N28" s="147">
        <v>4218675</v>
      </c>
      <c r="O28" s="183">
        <v>44761</v>
      </c>
      <c r="P28" s="185">
        <v>44938.504305555558</v>
      </c>
      <c r="Q28" s="148" t="s">
        <v>1103</v>
      </c>
      <c r="R28" s="147">
        <v>32817</v>
      </c>
      <c r="S28" s="149"/>
      <c r="T28" s="147">
        <v>88</v>
      </c>
      <c r="U28" s="149"/>
      <c r="V28" s="149"/>
      <c r="W28" s="147">
        <v>138</v>
      </c>
      <c r="X28" s="147">
        <v>66.099999999999994</v>
      </c>
      <c r="Y28" s="147">
        <v>4</v>
      </c>
      <c r="Z28" s="149"/>
      <c r="AA28" s="149"/>
      <c r="AB28" s="148" t="s">
        <v>1104</v>
      </c>
      <c r="AC28" s="147">
        <v>0</v>
      </c>
      <c r="AD28" s="148" t="s">
        <v>1073</v>
      </c>
      <c r="AE28" s="149"/>
      <c r="AF28" s="148" t="s">
        <v>1105</v>
      </c>
      <c r="AG28" s="149"/>
      <c r="AH28" s="149"/>
    </row>
    <row r="29" spans="1:34">
      <c r="A29" s="18"/>
      <c r="D29" s="19"/>
      <c r="L29" s="147">
        <v>27</v>
      </c>
      <c r="M29" s="147">
        <v>1000005</v>
      </c>
      <c r="N29" s="147">
        <v>4254663</v>
      </c>
      <c r="O29" s="183">
        <v>45267</v>
      </c>
      <c r="P29" s="185">
        <v>44474.447604166664</v>
      </c>
      <c r="Q29" s="148" t="s">
        <v>1106</v>
      </c>
      <c r="R29" s="147">
        <v>32817</v>
      </c>
      <c r="S29" s="149"/>
      <c r="T29" s="147">
        <v>62</v>
      </c>
      <c r="U29" s="149"/>
      <c r="V29" s="149"/>
      <c r="W29" s="147">
        <v>5</v>
      </c>
      <c r="X29" s="147">
        <v>0.95</v>
      </c>
      <c r="Y29" s="147">
        <v>8</v>
      </c>
      <c r="Z29" s="149"/>
      <c r="AA29" s="149"/>
      <c r="AB29" s="148" t="s">
        <v>1107</v>
      </c>
      <c r="AC29" s="147">
        <v>0</v>
      </c>
      <c r="AD29" s="148" t="s">
        <v>755</v>
      </c>
      <c r="AE29" s="149"/>
      <c r="AF29" s="148" t="s">
        <v>1108</v>
      </c>
      <c r="AG29" s="149"/>
      <c r="AH29" s="149"/>
    </row>
    <row r="30" spans="1:34">
      <c r="A30" s="17"/>
      <c r="L30" s="147">
        <v>28</v>
      </c>
      <c r="M30" s="147">
        <v>1000005</v>
      </c>
      <c r="N30" s="147">
        <v>4156652</v>
      </c>
      <c r="O30" s="183">
        <v>45267</v>
      </c>
      <c r="P30" s="185">
        <v>44474.447604166664</v>
      </c>
      <c r="Q30" s="148" t="s">
        <v>1106</v>
      </c>
      <c r="R30" s="147">
        <v>32817</v>
      </c>
      <c r="S30" s="149"/>
      <c r="T30" s="147">
        <v>62</v>
      </c>
      <c r="U30" s="149"/>
      <c r="V30" s="149"/>
      <c r="W30" s="147">
        <v>5</v>
      </c>
      <c r="X30" s="147">
        <v>0.95</v>
      </c>
      <c r="Y30" s="147">
        <v>8</v>
      </c>
      <c r="Z30" s="149"/>
      <c r="AA30" s="149"/>
      <c r="AB30" s="148" t="s">
        <v>1107</v>
      </c>
      <c r="AC30" s="147">
        <v>0</v>
      </c>
      <c r="AD30" s="148" t="s">
        <v>755</v>
      </c>
      <c r="AE30" s="149"/>
      <c r="AF30" s="148" t="s">
        <v>1108</v>
      </c>
      <c r="AG30" s="149"/>
      <c r="AH30" s="149"/>
    </row>
    <row r="31" spans="1:34">
      <c r="A31" s="17"/>
      <c r="L31" s="147">
        <v>29</v>
      </c>
      <c r="M31" s="147">
        <v>1000005</v>
      </c>
      <c r="N31" s="147">
        <v>4005185</v>
      </c>
      <c r="O31" s="183">
        <v>45366</v>
      </c>
      <c r="P31" s="186"/>
      <c r="Q31" s="148" t="s">
        <v>755</v>
      </c>
      <c r="R31" s="147">
        <v>32817</v>
      </c>
      <c r="S31" s="149"/>
      <c r="T31" s="149"/>
      <c r="U31" s="149"/>
      <c r="V31" s="149"/>
      <c r="W31" s="149"/>
      <c r="X31" s="149"/>
      <c r="Y31" s="147">
        <v>1</v>
      </c>
      <c r="Z31" s="149"/>
      <c r="AA31" s="149"/>
      <c r="AB31" s="148" t="s">
        <v>1109</v>
      </c>
      <c r="AC31" s="147">
        <v>45577813</v>
      </c>
      <c r="AD31" s="148" t="s">
        <v>755</v>
      </c>
      <c r="AE31" s="149"/>
      <c r="AF31" s="148" t="s">
        <v>755</v>
      </c>
      <c r="AG31" s="149"/>
      <c r="AH31" s="149"/>
    </row>
    <row r="32" spans="1:34" ht="27">
      <c r="A32" s="17"/>
      <c r="L32" s="147">
        <v>30</v>
      </c>
      <c r="M32" s="147">
        <v>1000008</v>
      </c>
      <c r="N32" s="147">
        <v>37398605</v>
      </c>
      <c r="O32" s="183">
        <v>44081</v>
      </c>
      <c r="P32" s="185">
        <v>44333.347037037034</v>
      </c>
      <c r="Q32" s="148" t="s">
        <v>1110</v>
      </c>
      <c r="R32" s="147">
        <v>32817</v>
      </c>
      <c r="S32" s="149"/>
      <c r="T32" s="147">
        <v>3.01</v>
      </c>
      <c r="U32" s="149"/>
      <c r="V32" s="149"/>
      <c r="W32" s="147">
        <v>12</v>
      </c>
      <c r="X32" s="147">
        <v>5.5</v>
      </c>
      <c r="Y32" s="147">
        <v>9</v>
      </c>
      <c r="Z32" s="149"/>
      <c r="AA32" s="149"/>
      <c r="AB32" s="148" t="s">
        <v>1111</v>
      </c>
      <c r="AC32" s="147">
        <v>0</v>
      </c>
      <c r="AD32" s="148" t="s">
        <v>1018</v>
      </c>
      <c r="AE32" s="149"/>
      <c r="AF32" s="148" t="s">
        <v>1112</v>
      </c>
      <c r="AG32" s="149"/>
      <c r="AH32" s="149"/>
    </row>
    <row r="33" spans="1:4">
      <c r="A33" s="17"/>
    </row>
    <row r="34" spans="1:4">
      <c r="A34" s="17"/>
    </row>
    <row r="35" spans="1:4">
      <c r="A35" s="17"/>
    </row>
    <row r="36" spans="1:4">
      <c r="A36" s="17"/>
    </row>
    <row r="37" spans="1:4">
      <c r="A37" s="18"/>
      <c r="D37" s="19"/>
    </row>
    <row r="38" spans="1:4">
      <c r="A38" s="17"/>
    </row>
    <row r="39" spans="1:4">
      <c r="A39" s="17"/>
    </row>
    <row r="40" spans="1:4">
      <c r="A40" s="17"/>
    </row>
    <row r="41" spans="1:4">
      <c r="A41" s="17"/>
    </row>
    <row r="42" spans="1:4">
      <c r="A42" s="17"/>
    </row>
    <row r="43" spans="1:4">
      <c r="A43" s="17"/>
    </row>
    <row r="44" spans="1:4">
      <c r="A44" s="18"/>
      <c r="D44" s="19"/>
    </row>
    <row r="45" spans="1:4">
      <c r="A45" s="17"/>
    </row>
    <row r="46" spans="1:4">
      <c r="A46" s="17"/>
    </row>
    <row r="47" spans="1:4">
      <c r="A47" s="17"/>
    </row>
    <row r="48" spans="1:4">
      <c r="A48" s="17"/>
    </row>
    <row r="49" spans="1:1">
      <c r="A49" s="17"/>
    </row>
    <row r="50" spans="1:1">
      <c r="A50" s="17"/>
    </row>
    <row r="51" spans="1:1">
      <c r="A51" s="17"/>
    </row>
    <row r="52" spans="1:1">
      <c r="A52" s="17"/>
    </row>
    <row r="53" spans="1:1">
      <c r="A53" s="17"/>
    </row>
  </sheetData>
  <autoFilter ref="A2:I25" xr:uid="{F8BA6A7C-E3C6-4937-86EF-CDE92249AD12}"/>
  <phoneticPr fontId="1"/>
  <hyperlinks>
    <hyperlink ref="I9" r:id="rId1" xr:uid="{EB66B760-B236-4E64-9B37-27FAE8825E0A}"/>
    <hyperlink ref="I10" r:id="rId2" xr:uid="{97527B15-F027-4AE2-97FA-A10CFCD8145E}"/>
    <hyperlink ref="I5" r:id="rId3" xr:uid="{166BEBBE-B14E-4CA0-925C-2DCE5994384D}"/>
    <hyperlink ref="I13" r:id="rId4" xr:uid="{24B217AF-4099-46F7-A815-7678A102EE1A}"/>
    <hyperlink ref="I12" r:id="rId5" xr:uid="{4C2844AA-5901-4DBA-A414-8854AD6AE52F}"/>
    <hyperlink ref="I20" r:id="rId6" xr:uid="{D39E2CFC-BAA8-48FB-B952-287A024E5792}"/>
    <hyperlink ref="I22" r:id="rId7" xr:uid="{231768C8-6FBC-453B-9A5E-4152F28727BD}"/>
  </hyperlinks>
  <pageMargins left="0.7" right="0.7" top="0.75" bottom="0.75" header="0.3" footer="0.3"/>
  <drawing r:id="rId8"/>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BC4A8-640D-42E0-B1BD-0B4BC90C25E2}">
  <sheetPr codeName="Sheet12"/>
  <dimension ref="A1:Z21"/>
  <sheetViews>
    <sheetView zoomScaleNormal="100" workbookViewId="0">
      <pane xSplit="2" ySplit="2" topLeftCell="C3" activePane="bottomRight" state="frozen"/>
      <selection pane="topRight" activeCell="C1" sqref="C1"/>
      <selection pane="bottomLeft" activeCell="A3" sqref="A3"/>
      <selection pane="bottomRight"/>
    </sheetView>
  </sheetViews>
  <sheetFormatPr defaultRowHeight="18.75"/>
  <cols>
    <col min="1" max="1" width="30.625" bestFit="1" customWidth="1"/>
    <col min="2" max="2" width="26.875" bestFit="1" customWidth="1"/>
    <col min="3" max="3" width="11.125" bestFit="1" customWidth="1"/>
    <col min="5" max="5" width="17.875" customWidth="1"/>
    <col min="6" max="6" width="26.5" customWidth="1"/>
    <col min="7" max="7" width="57.375" style="3" customWidth="1"/>
    <col min="8" max="8" width="23.75" style="3" bestFit="1" customWidth="1"/>
    <col min="9" max="9" width="57.375" style="3" customWidth="1"/>
    <col min="12" max="12" width="10.25" bestFit="1" customWidth="1"/>
    <col min="13" max="13" width="8.25" bestFit="1" customWidth="1"/>
    <col min="14" max="14" width="17.5" bestFit="1" customWidth="1"/>
    <col min="15" max="15" width="21.75" bestFit="1" customWidth="1"/>
    <col min="16" max="16" width="12.375" style="155" bestFit="1" customWidth="1"/>
    <col min="17" max="17" width="16" style="164" bestFit="1" customWidth="1"/>
    <col min="18" max="18" width="7.375" bestFit="1" customWidth="1"/>
    <col min="19" max="19" width="13" bestFit="1" customWidth="1"/>
    <col min="20" max="20" width="20.875" bestFit="1" customWidth="1"/>
    <col min="21" max="21" width="21.625" bestFit="1" customWidth="1"/>
    <col min="22" max="22" width="16.375" bestFit="1" customWidth="1"/>
    <col min="23" max="23" width="19.25" bestFit="1" customWidth="1"/>
    <col min="24" max="24" width="14.625" bestFit="1" customWidth="1"/>
    <col min="25" max="25" width="22.5" bestFit="1" customWidth="1"/>
    <col min="26" max="26" width="23.375" bestFit="1" customWidth="1"/>
  </cols>
  <sheetData>
    <row r="1" spans="1:26">
      <c r="A1" s="6" t="s">
        <v>489</v>
      </c>
      <c r="L1" s="6" t="s">
        <v>807</v>
      </c>
    </row>
    <row r="2" spans="1:26">
      <c r="A2" s="2" t="s">
        <v>0</v>
      </c>
      <c r="B2" s="2" t="s">
        <v>1</v>
      </c>
      <c r="C2" s="2" t="s">
        <v>2</v>
      </c>
      <c r="D2" s="2" t="s">
        <v>8</v>
      </c>
      <c r="E2" s="5" t="s">
        <v>151</v>
      </c>
      <c r="F2" s="5" t="s">
        <v>63</v>
      </c>
      <c r="G2" s="5" t="s">
        <v>145</v>
      </c>
      <c r="H2" s="5" t="s">
        <v>743</v>
      </c>
      <c r="I2" s="5" t="s">
        <v>85</v>
      </c>
      <c r="L2" s="150" t="s">
        <v>490</v>
      </c>
      <c r="M2" s="150" t="s">
        <v>49</v>
      </c>
      <c r="N2" s="150" t="s">
        <v>491</v>
      </c>
      <c r="O2" s="150" t="s">
        <v>492</v>
      </c>
      <c r="P2" s="187" t="s">
        <v>493</v>
      </c>
      <c r="Q2" s="189" t="s">
        <v>494</v>
      </c>
      <c r="R2" s="150" t="s">
        <v>87</v>
      </c>
      <c r="S2" s="150" t="s">
        <v>495</v>
      </c>
      <c r="T2" s="150" t="s">
        <v>496</v>
      </c>
      <c r="U2" s="150" t="s">
        <v>497</v>
      </c>
      <c r="V2" s="150" t="s">
        <v>498</v>
      </c>
      <c r="W2" s="150" t="s">
        <v>499</v>
      </c>
      <c r="X2" s="150" t="s">
        <v>89</v>
      </c>
      <c r="Y2" s="150" t="s">
        <v>500</v>
      </c>
      <c r="Z2" s="150" t="s">
        <v>501</v>
      </c>
    </row>
    <row r="3" spans="1:26" ht="56.25">
      <c r="A3" s="66" t="s">
        <v>490</v>
      </c>
      <c r="B3" s="66" t="s">
        <v>3</v>
      </c>
      <c r="C3" s="66"/>
      <c r="D3" s="66" t="s">
        <v>9</v>
      </c>
      <c r="E3" s="12" t="s">
        <v>357</v>
      </c>
      <c r="F3" s="15"/>
      <c r="G3" s="15" t="s">
        <v>505</v>
      </c>
      <c r="H3" s="15"/>
      <c r="I3" s="15"/>
      <c r="J3" s="17"/>
      <c r="L3" s="151">
        <v>1</v>
      </c>
      <c r="M3" s="151">
        <v>1000002</v>
      </c>
      <c r="N3" s="151">
        <v>4046280</v>
      </c>
      <c r="O3" s="151">
        <v>32817</v>
      </c>
      <c r="P3" s="188">
        <v>43990</v>
      </c>
      <c r="Q3" s="190">
        <v>45237.33153935185</v>
      </c>
      <c r="R3" s="152"/>
      <c r="S3" s="152"/>
      <c r="T3" s="152"/>
      <c r="U3" s="152"/>
      <c r="V3" s="153" t="s">
        <v>755</v>
      </c>
      <c r="W3" s="153" t="s">
        <v>1113</v>
      </c>
      <c r="X3" s="153" t="s">
        <v>755</v>
      </c>
      <c r="Y3" s="153" t="s">
        <v>755</v>
      </c>
      <c r="Z3" s="153" t="s">
        <v>755</v>
      </c>
    </row>
    <row r="4" spans="1:26" ht="37.5">
      <c r="A4" s="66" t="s">
        <v>49</v>
      </c>
      <c r="B4" s="66" t="s">
        <v>3</v>
      </c>
      <c r="C4" s="66"/>
      <c r="D4" s="66" t="s">
        <v>9</v>
      </c>
      <c r="E4" s="30" t="s">
        <v>204</v>
      </c>
      <c r="F4" s="15" t="s">
        <v>502</v>
      </c>
      <c r="G4" s="15" t="s">
        <v>359</v>
      </c>
      <c r="H4" s="15"/>
      <c r="I4" s="15"/>
      <c r="J4" s="17"/>
      <c r="L4" s="151">
        <v>2</v>
      </c>
      <c r="M4" s="151">
        <v>1000002</v>
      </c>
      <c r="N4" s="151">
        <v>4046280</v>
      </c>
      <c r="O4" s="151">
        <v>32817</v>
      </c>
      <c r="P4" s="188">
        <v>44259</v>
      </c>
      <c r="Q4" s="190">
        <v>44328.549351851849</v>
      </c>
      <c r="R4" s="152"/>
      <c r="S4" s="152"/>
      <c r="T4" s="152"/>
      <c r="U4" s="152"/>
      <c r="V4" s="153" t="s">
        <v>755</v>
      </c>
      <c r="W4" s="153" t="s">
        <v>1114</v>
      </c>
      <c r="X4" s="153" t="s">
        <v>755</v>
      </c>
      <c r="Y4" s="153" t="s">
        <v>755</v>
      </c>
      <c r="Z4" s="153" t="s">
        <v>755</v>
      </c>
    </row>
    <row r="5" spans="1:26" ht="66">
      <c r="A5" s="66" t="s">
        <v>491</v>
      </c>
      <c r="B5" s="66" t="s">
        <v>3</v>
      </c>
      <c r="C5" s="66"/>
      <c r="D5" s="66" t="s">
        <v>9</v>
      </c>
      <c r="E5" s="30" t="s">
        <v>204</v>
      </c>
      <c r="F5" s="15" t="s">
        <v>503</v>
      </c>
      <c r="G5" s="15" t="s">
        <v>504</v>
      </c>
      <c r="H5" s="120" t="s">
        <v>1868</v>
      </c>
      <c r="I5" s="16" t="s">
        <v>1869</v>
      </c>
      <c r="J5" s="18"/>
      <c r="L5" s="151">
        <v>3</v>
      </c>
      <c r="M5" s="151">
        <v>1000002</v>
      </c>
      <c r="N5" s="151">
        <v>4046280</v>
      </c>
      <c r="O5" s="151">
        <v>32817</v>
      </c>
      <c r="P5" s="188">
        <v>44305</v>
      </c>
      <c r="Q5" s="190">
        <v>44809.487187500003</v>
      </c>
      <c r="R5" s="152"/>
      <c r="S5" s="152"/>
      <c r="T5" s="152"/>
      <c r="U5" s="152"/>
      <c r="V5" s="153" t="s">
        <v>755</v>
      </c>
      <c r="W5" s="153" t="s">
        <v>1114</v>
      </c>
      <c r="X5" s="153" t="s">
        <v>755</v>
      </c>
      <c r="Y5" s="153" t="s">
        <v>755</v>
      </c>
      <c r="Z5" s="153" t="s">
        <v>755</v>
      </c>
    </row>
    <row r="6" spans="1:26" ht="56.25">
      <c r="A6" s="66" t="s">
        <v>492</v>
      </c>
      <c r="B6" s="66" t="s">
        <v>3</v>
      </c>
      <c r="C6" s="66"/>
      <c r="D6" s="66" t="s">
        <v>9</v>
      </c>
      <c r="E6" s="32" t="s">
        <v>150</v>
      </c>
      <c r="F6" s="12" t="s">
        <v>144</v>
      </c>
      <c r="G6" s="15" t="s">
        <v>365</v>
      </c>
      <c r="H6" s="15"/>
      <c r="I6" s="16" t="s">
        <v>69</v>
      </c>
      <c r="J6" s="17"/>
      <c r="L6" s="151">
        <v>4</v>
      </c>
      <c r="M6" s="151">
        <v>1000002</v>
      </c>
      <c r="N6" s="151">
        <v>4001225</v>
      </c>
      <c r="O6" s="151">
        <v>32817</v>
      </c>
      <c r="P6" s="188">
        <v>45175</v>
      </c>
      <c r="Q6" s="190">
        <v>44777.373645833337</v>
      </c>
      <c r="R6" s="152"/>
      <c r="S6" s="152"/>
      <c r="T6" s="152"/>
      <c r="U6" s="152"/>
      <c r="V6" s="153" t="s">
        <v>755</v>
      </c>
      <c r="W6" s="153" t="s">
        <v>1115</v>
      </c>
      <c r="X6" s="153" t="s">
        <v>755</v>
      </c>
      <c r="Y6" s="153" t="s">
        <v>755</v>
      </c>
      <c r="Z6" s="153" t="s">
        <v>755</v>
      </c>
    </row>
    <row r="7" spans="1:26" ht="37.5">
      <c r="A7" s="66" t="s">
        <v>493</v>
      </c>
      <c r="B7" s="66" t="s">
        <v>5</v>
      </c>
      <c r="C7" s="66"/>
      <c r="D7" s="66" t="s">
        <v>9</v>
      </c>
      <c r="E7" s="12" t="s">
        <v>148</v>
      </c>
      <c r="F7" s="15" t="s">
        <v>154</v>
      </c>
      <c r="G7" s="15" t="s">
        <v>391</v>
      </c>
      <c r="H7" s="15"/>
      <c r="I7" s="15"/>
      <c r="J7" s="17"/>
      <c r="L7" s="151">
        <v>5</v>
      </c>
      <c r="M7" s="151">
        <v>1000002</v>
      </c>
      <c r="N7" s="151">
        <v>4001225</v>
      </c>
      <c r="O7" s="151">
        <v>32817</v>
      </c>
      <c r="P7" s="188">
        <v>45279</v>
      </c>
      <c r="Q7" s="190">
        <v>44563.376030092593</v>
      </c>
      <c r="R7" s="152"/>
      <c r="S7" s="152"/>
      <c r="T7" s="152"/>
      <c r="U7" s="152"/>
      <c r="V7" s="153" t="s">
        <v>755</v>
      </c>
      <c r="W7" s="153" t="s">
        <v>1115</v>
      </c>
      <c r="X7" s="153" t="s">
        <v>755</v>
      </c>
      <c r="Y7" s="153" t="s">
        <v>755</v>
      </c>
      <c r="Z7" s="153" t="s">
        <v>755</v>
      </c>
    </row>
    <row r="8" spans="1:26" ht="56.25">
      <c r="A8" s="67" t="s">
        <v>494</v>
      </c>
      <c r="B8" s="67" t="s">
        <v>6</v>
      </c>
      <c r="C8" s="67"/>
      <c r="D8" s="67" t="s">
        <v>10</v>
      </c>
      <c r="E8" s="67" t="s">
        <v>148</v>
      </c>
      <c r="F8" s="68" t="s">
        <v>390</v>
      </c>
      <c r="G8" s="68" t="s">
        <v>392</v>
      </c>
      <c r="H8" s="68"/>
      <c r="I8" s="68"/>
      <c r="J8" s="17"/>
      <c r="L8" s="151">
        <v>6</v>
      </c>
      <c r="M8" s="151">
        <v>1000004</v>
      </c>
      <c r="N8" s="151">
        <v>4001225</v>
      </c>
      <c r="O8" s="151">
        <v>32817</v>
      </c>
      <c r="P8" s="188">
        <v>44153</v>
      </c>
      <c r="Q8" s="190">
        <v>44694.35460648148</v>
      </c>
      <c r="R8" s="152"/>
      <c r="S8" s="152"/>
      <c r="T8" s="152"/>
      <c r="U8" s="152"/>
      <c r="V8" s="153" t="s">
        <v>755</v>
      </c>
      <c r="W8" s="153" t="s">
        <v>1115</v>
      </c>
      <c r="X8" s="153" t="s">
        <v>755</v>
      </c>
      <c r="Y8" s="153" t="s">
        <v>755</v>
      </c>
      <c r="Z8" s="153" t="s">
        <v>755</v>
      </c>
    </row>
    <row r="9" spans="1:26">
      <c r="A9" s="70" t="s">
        <v>87</v>
      </c>
      <c r="B9" s="70" t="s">
        <v>7</v>
      </c>
      <c r="C9" s="70"/>
      <c r="D9" s="70" t="s">
        <v>10</v>
      </c>
      <c r="E9" s="70"/>
      <c r="F9" s="70"/>
      <c r="G9" s="62" t="s">
        <v>68</v>
      </c>
      <c r="H9" s="62"/>
      <c r="I9" s="78"/>
      <c r="J9" s="17"/>
      <c r="L9" s="151">
        <v>7</v>
      </c>
      <c r="M9" s="151">
        <v>1000004</v>
      </c>
      <c r="N9" s="151">
        <v>4046280</v>
      </c>
      <c r="O9" s="151">
        <v>32817</v>
      </c>
      <c r="P9" s="188">
        <v>44169</v>
      </c>
      <c r="Q9" s="190">
        <v>44880.297847222224</v>
      </c>
      <c r="R9" s="152"/>
      <c r="S9" s="152"/>
      <c r="T9" s="152"/>
      <c r="U9" s="152"/>
      <c r="V9" s="153" t="s">
        <v>755</v>
      </c>
      <c r="W9" s="153" t="s">
        <v>1114</v>
      </c>
      <c r="X9" s="153" t="s">
        <v>755</v>
      </c>
      <c r="Y9" s="153" t="s">
        <v>755</v>
      </c>
      <c r="Z9" s="153" t="s">
        <v>755</v>
      </c>
    </row>
    <row r="10" spans="1:26">
      <c r="A10" s="70" t="s">
        <v>495</v>
      </c>
      <c r="B10" s="70" t="s">
        <v>3</v>
      </c>
      <c r="C10" s="70"/>
      <c r="D10" s="70" t="s">
        <v>10</v>
      </c>
      <c r="E10" s="72"/>
      <c r="F10" s="72"/>
      <c r="G10" s="62" t="s">
        <v>68</v>
      </c>
      <c r="H10" s="62"/>
      <c r="I10" s="78"/>
      <c r="J10" s="17"/>
      <c r="L10" s="151">
        <v>8</v>
      </c>
      <c r="M10" s="151">
        <v>1000004</v>
      </c>
      <c r="N10" s="151">
        <v>4001225</v>
      </c>
      <c r="O10" s="151">
        <v>32817</v>
      </c>
      <c r="P10" s="188">
        <v>44187</v>
      </c>
      <c r="Q10" s="190">
        <v>45376.410451388889</v>
      </c>
      <c r="R10" s="152"/>
      <c r="S10" s="152"/>
      <c r="T10" s="152"/>
      <c r="U10" s="152"/>
      <c r="V10" s="153" t="s">
        <v>755</v>
      </c>
      <c r="W10" s="153" t="s">
        <v>1116</v>
      </c>
      <c r="X10" s="153" t="s">
        <v>755</v>
      </c>
      <c r="Y10" s="153" t="s">
        <v>755</v>
      </c>
      <c r="Z10" s="153" t="s">
        <v>755</v>
      </c>
    </row>
    <row r="11" spans="1:26">
      <c r="A11" s="70" t="s">
        <v>496</v>
      </c>
      <c r="B11" s="70" t="s">
        <v>3</v>
      </c>
      <c r="C11" s="70"/>
      <c r="D11" s="70" t="s">
        <v>10</v>
      </c>
      <c r="E11" s="70"/>
      <c r="F11" s="72"/>
      <c r="G11" s="62" t="s">
        <v>68</v>
      </c>
      <c r="H11" s="62"/>
      <c r="I11" s="72"/>
      <c r="J11" s="17"/>
      <c r="L11" s="151">
        <v>9</v>
      </c>
      <c r="M11" s="151">
        <v>1000004</v>
      </c>
      <c r="N11" s="151">
        <v>4046280</v>
      </c>
      <c r="O11" s="151">
        <v>32817</v>
      </c>
      <c r="P11" s="188">
        <v>44446</v>
      </c>
      <c r="Q11" s="190">
        <v>44112.418124999997</v>
      </c>
      <c r="R11" s="152"/>
      <c r="S11" s="152"/>
      <c r="T11" s="152"/>
      <c r="U11" s="152"/>
      <c r="V11" s="153" t="s">
        <v>755</v>
      </c>
      <c r="W11" s="153" t="s">
        <v>1114</v>
      </c>
      <c r="X11" s="153" t="s">
        <v>755</v>
      </c>
      <c r="Y11" s="153" t="s">
        <v>755</v>
      </c>
      <c r="Z11" s="153" t="s">
        <v>755</v>
      </c>
    </row>
    <row r="12" spans="1:26">
      <c r="A12" s="70" t="s">
        <v>497</v>
      </c>
      <c r="B12" s="70" t="s">
        <v>3</v>
      </c>
      <c r="C12" s="70"/>
      <c r="D12" s="70" t="s">
        <v>10</v>
      </c>
      <c r="E12" s="72"/>
      <c r="F12" s="72"/>
      <c r="G12" s="62" t="s">
        <v>68</v>
      </c>
      <c r="H12" s="62"/>
      <c r="I12" s="72"/>
      <c r="J12" s="17"/>
      <c r="L12" s="151">
        <v>10</v>
      </c>
      <c r="M12" s="151">
        <v>1000004</v>
      </c>
      <c r="N12" s="151">
        <v>4001225</v>
      </c>
      <c r="O12" s="151">
        <v>32817</v>
      </c>
      <c r="P12" s="188">
        <v>44561</v>
      </c>
      <c r="Q12" s="190">
        <v>43955.366423611114</v>
      </c>
      <c r="R12" s="152"/>
      <c r="S12" s="152"/>
      <c r="T12" s="152"/>
      <c r="U12" s="152"/>
      <c r="V12" s="153" t="s">
        <v>755</v>
      </c>
      <c r="W12" s="153" t="s">
        <v>1116</v>
      </c>
      <c r="X12" s="153" t="s">
        <v>755</v>
      </c>
      <c r="Y12" s="153" t="s">
        <v>755</v>
      </c>
      <c r="Z12" s="153" t="s">
        <v>755</v>
      </c>
    </row>
    <row r="13" spans="1:26">
      <c r="A13" s="70" t="s">
        <v>498</v>
      </c>
      <c r="B13" s="70" t="s">
        <v>4</v>
      </c>
      <c r="C13" s="70">
        <v>50</v>
      </c>
      <c r="D13" s="70" t="s">
        <v>10</v>
      </c>
      <c r="E13" s="72"/>
      <c r="F13" s="72"/>
      <c r="G13" s="62" t="s">
        <v>68</v>
      </c>
      <c r="H13" s="62"/>
      <c r="I13" s="78"/>
      <c r="J13" s="18"/>
      <c r="L13" s="151">
        <v>11</v>
      </c>
      <c r="M13" s="151">
        <v>1000004</v>
      </c>
      <c r="N13" s="151">
        <v>4001225</v>
      </c>
      <c r="O13" s="151">
        <v>32817</v>
      </c>
      <c r="P13" s="188">
        <v>44749</v>
      </c>
      <c r="Q13" s="190">
        <v>45138.371840277781</v>
      </c>
      <c r="R13" s="152"/>
      <c r="S13" s="152"/>
      <c r="T13" s="152"/>
      <c r="U13" s="152"/>
      <c r="V13" s="153" t="s">
        <v>755</v>
      </c>
      <c r="W13" s="153" t="s">
        <v>1116</v>
      </c>
      <c r="X13" s="153" t="s">
        <v>755</v>
      </c>
      <c r="Y13" s="153" t="s">
        <v>755</v>
      </c>
      <c r="Z13" s="153" t="s">
        <v>755</v>
      </c>
    </row>
    <row r="14" spans="1:26" ht="37.5">
      <c r="A14" s="67" t="s">
        <v>499</v>
      </c>
      <c r="B14" s="67" t="s">
        <v>4</v>
      </c>
      <c r="C14" s="67">
        <v>50</v>
      </c>
      <c r="D14" s="67" t="s">
        <v>10</v>
      </c>
      <c r="E14" s="67"/>
      <c r="F14" s="15" t="s">
        <v>1854</v>
      </c>
      <c r="G14" s="15" t="s">
        <v>1853</v>
      </c>
      <c r="H14" s="15"/>
      <c r="I14" s="68"/>
      <c r="J14" s="17"/>
      <c r="L14" s="151">
        <v>12</v>
      </c>
      <c r="M14" s="151">
        <v>1000004</v>
      </c>
      <c r="N14" s="151">
        <v>4001225</v>
      </c>
      <c r="O14" s="151">
        <v>32817</v>
      </c>
      <c r="P14" s="188">
        <v>44866</v>
      </c>
      <c r="Q14" s="190">
        <v>44823.488692129627</v>
      </c>
      <c r="R14" s="152"/>
      <c r="S14" s="152"/>
      <c r="T14" s="152"/>
      <c r="U14" s="152"/>
      <c r="V14" s="153" t="s">
        <v>755</v>
      </c>
      <c r="W14" s="153" t="s">
        <v>1117</v>
      </c>
      <c r="X14" s="153" t="s">
        <v>755</v>
      </c>
      <c r="Y14" s="153" t="s">
        <v>755</v>
      </c>
      <c r="Z14" s="153" t="s">
        <v>755</v>
      </c>
    </row>
    <row r="15" spans="1:26">
      <c r="A15" s="70" t="s">
        <v>89</v>
      </c>
      <c r="B15" s="70" t="s">
        <v>4</v>
      </c>
      <c r="C15" s="70">
        <v>50</v>
      </c>
      <c r="D15" s="70" t="s">
        <v>10</v>
      </c>
      <c r="E15" s="70"/>
      <c r="F15" s="72"/>
      <c r="G15" s="62" t="s">
        <v>68</v>
      </c>
      <c r="H15" s="62"/>
      <c r="I15" s="72"/>
      <c r="J15" s="17"/>
      <c r="L15" s="151">
        <v>13</v>
      </c>
      <c r="M15" s="151">
        <v>1000004</v>
      </c>
      <c r="N15" s="151">
        <v>4046280</v>
      </c>
      <c r="O15" s="151">
        <v>32817</v>
      </c>
      <c r="P15" s="188">
        <v>45278</v>
      </c>
      <c r="Q15" s="190">
        <v>44630.367407407408</v>
      </c>
      <c r="R15" s="152"/>
      <c r="S15" s="152"/>
      <c r="T15" s="152"/>
      <c r="U15" s="152"/>
      <c r="V15" s="153" t="s">
        <v>755</v>
      </c>
      <c r="W15" s="153" t="s">
        <v>1114</v>
      </c>
      <c r="X15" s="153" t="s">
        <v>755</v>
      </c>
      <c r="Y15" s="153" t="s">
        <v>755</v>
      </c>
      <c r="Z15" s="153" t="s">
        <v>755</v>
      </c>
    </row>
    <row r="16" spans="1:26">
      <c r="A16" s="70" t="s">
        <v>500</v>
      </c>
      <c r="B16" s="70" t="s">
        <v>4</v>
      </c>
      <c r="C16" s="70">
        <v>50</v>
      </c>
      <c r="D16" s="70" t="s">
        <v>10</v>
      </c>
      <c r="E16" s="72"/>
      <c r="F16" s="72"/>
      <c r="G16" s="62" t="s">
        <v>68</v>
      </c>
      <c r="H16" s="62"/>
      <c r="I16" s="72"/>
      <c r="J16" s="17"/>
    </row>
    <row r="17" spans="1:10">
      <c r="A17" s="70" t="s">
        <v>501</v>
      </c>
      <c r="B17" s="70" t="s">
        <v>4</v>
      </c>
      <c r="C17" s="70">
        <v>50</v>
      </c>
      <c r="D17" s="70" t="s">
        <v>10</v>
      </c>
      <c r="E17" s="72"/>
      <c r="F17" s="72"/>
      <c r="G17" s="62" t="s">
        <v>68</v>
      </c>
      <c r="H17" s="62"/>
      <c r="I17" s="72"/>
      <c r="J17" s="17"/>
    </row>
    <row r="19" spans="1:10">
      <c r="A19" s="250" t="s">
        <v>1812</v>
      </c>
    </row>
    <row r="20" spans="1:10">
      <c r="A20" s="250" t="s">
        <v>1814</v>
      </c>
    </row>
    <row r="21" spans="1:10">
      <c r="A21" s="250" t="s">
        <v>1813</v>
      </c>
    </row>
  </sheetData>
  <autoFilter ref="A2:I17" xr:uid="{F8BA6A7C-E3C6-4937-86EF-CDE92249AD12}"/>
  <phoneticPr fontId="1"/>
  <hyperlinks>
    <hyperlink ref="I6" r:id="rId1" xr:uid="{CF8CD88A-7F37-473E-B49A-3A2D800CF15D}"/>
    <hyperlink ref="I5" r:id="rId2" xr:uid="{6677A08D-E8EE-4510-837B-C7CF879941A9}"/>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417B3-916B-40C1-87C9-FDE8254D066E}">
  <sheetPr codeName="Sheet43"/>
  <dimension ref="A1:P90"/>
  <sheetViews>
    <sheetView zoomScaleNormal="100" workbookViewId="0">
      <pane xSplit="3" ySplit="3" topLeftCell="I4" activePane="bottomRight" state="frozen"/>
      <selection pane="topRight" activeCell="D1" sqref="D1"/>
      <selection pane="bottomLeft" activeCell="A4" sqref="A4"/>
      <selection pane="bottomRight" activeCell="C1" sqref="C1"/>
    </sheetView>
  </sheetViews>
  <sheetFormatPr defaultRowHeight="18.75"/>
  <cols>
    <col min="1" max="1" width="8.625" style="9"/>
    <col min="2" max="2" width="5" customWidth="1"/>
    <col min="3" max="3" width="33.625" customWidth="1"/>
    <col min="4" max="4" width="20.125" customWidth="1"/>
    <col min="5" max="5" width="30.125" style="9" customWidth="1"/>
    <col min="6" max="6" width="31.625" style="9" customWidth="1"/>
    <col min="7" max="8" width="35.625" style="9" customWidth="1"/>
    <col min="9" max="9" width="32.125" style="9" bestFit="1" customWidth="1"/>
    <col min="10" max="10" width="29.125" style="9" customWidth="1"/>
    <col min="11" max="11" width="28.375" style="9" bestFit="1" customWidth="1"/>
    <col min="12" max="14" width="29.125" style="11" customWidth="1"/>
    <col min="15" max="15" width="33.5" style="11" customWidth="1"/>
    <col min="16" max="16" width="29.125" style="11" customWidth="1"/>
  </cols>
  <sheetData>
    <row r="1" spans="1:16" s="11" customFormat="1" ht="19.5" thickBot="1">
      <c r="A1" s="77" t="s">
        <v>1136</v>
      </c>
      <c r="B1" s="6"/>
      <c r="C1" s="6"/>
      <c r="D1"/>
      <c r="E1" s="9"/>
      <c r="F1" s="9"/>
      <c r="G1" s="9"/>
      <c r="H1" s="9"/>
      <c r="I1" s="9"/>
      <c r="J1" s="9"/>
      <c r="K1" s="9"/>
    </row>
    <row r="2" spans="1:16" s="11" customFormat="1">
      <c r="A2" s="76" t="s">
        <v>488</v>
      </c>
      <c r="B2" s="75" t="s">
        <v>487</v>
      </c>
      <c r="C2" s="75"/>
      <c r="D2" s="75" t="s">
        <v>486</v>
      </c>
      <c r="E2" s="213" t="s">
        <v>753</v>
      </c>
      <c r="F2" s="202"/>
      <c r="G2" s="202"/>
      <c r="H2" s="202"/>
      <c r="I2" s="202"/>
      <c r="J2" s="202"/>
      <c r="K2" s="214"/>
      <c r="L2" s="208" t="s">
        <v>568</v>
      </c>
      <c r="M2" s="204"/>
      <c r="N2" s="204"/>
      <c r="O2" s="204"/>
      <c r="P2" s="205"/>
    </row>
    <row r="3" spans="1:16" s="11" customFormat="1" ht="19.5" thickBot="1">
      <c r="A3" s="74"/>
      <c r="B3" s="73"/>
      <c r="C3" s="73" t="s">
        <v>752</v>
      </c>
      <c r="D3" s="73"/>
      <c r="E3" s="215" t="s">
        <v>506</v>
      </c>
      <c r="F3" s="203" t="s">
        <v>510</v>
      </c>
      <c r="G3" s="203" t="s">
        <v>511</v>
      </c>
      <c r="H3" s="203" t="s">
        <v>538</v>
      </c>
      <c r="I3" s="203" t="s">
        <v>507</v>
      </c>
      <c r="J3" s="203" t="s">
        <v>508</v>
      </c>
      <c r="K3" s="216" t="s">
        <v>509</v>
      </c>
      <c r="L3" s="209" t="s">
        <v>569</v>
      </c>
      <c r="M3" s="206" t="s">
        <v>570</v>
      </c>
      <c r="N3" s="206" t="s">
        <v>715</v>
      </c>
      <c r="O3" s="206" t="s">
        <v>571</v>
      </c>
      <c r="P3" s="207" t="s">
        <v>572</v>
      </c>
    </row>
    <row r="4" spans="1:16" s="11" customFormat="1">
      <c r="A4" s="79">
        <v>1</v>
      </c>
      <c r="B4" s="80" t="s">
        <v>485</v>
      </c>
      <c r="C4" s="80"/>
      <c r="D4" s="80" t="s">
        <v>430</v>
      </c>
      <c r="E4" s="221"/>
      <c r="F4" s="226"/>
      <c r="G4" s="226"/>
      <c r="H4" s="226"/>
      <c r="I4" s="226"/>
      <c r="J4" s="226"/>
      <c r="K4" s="231"/>
      <c r="L4" s="210" t="s">
        <v>573</v>
      </c>
      <c r="M4" s="11" t="s">
        <v>573</v>
      </c>
      <c r="N4" s="11" t="s">
        <v>573</v>
      </c>
      <c r="O4" s="11" t="s">
        <v>573</v>
      </c>
      <c r="P4" s="191" t="s">
        <v>573</v>
      </c>
    </row>
    <row r="5" spans="1:16" s="11" customFormat="1">
      <c r="A5" s="81"/>
      <c r="B5"/>
      <c r="C5" t="s">
        <v>484</v>
      </c>
      <c r="D5"/>
      <c r="E5" s="217" t="s">
        <v>580</v>
      </c>
      <c r="F5" s="193" t="s">
        <v>580</v>
      </c>
      <c r="G5" s="193" t="s">
        <v>580</v>
      </c>
      <c r="H5" s="193" t="s">
        <v>580</v>
      </c>
      <c r="I5" s="193" t="s">
        <v>580</v>
      </c>
      <c r="J5" s="193" t="s">
        <v>580</v>
      </c>
      <c r="K5" s="218" t="s">
        <v>580</v>
      </c>
      <c r="L5" s="210"/>
      <c r="P5" s="191"/>
    </row>
    <row r="6" spans="1:16" s="11" customFormat="1">
      <c r="A6" s="81">
        <f>A4+1</f>
        <v>2</v>
      </c>
      <c r="B6" t="s">
        <v>1157</v>
      </c>
      <c r="C6"/>
      <c r="D6" t="s">
        <v>438</v>
      </c>
      <c r="E6" s="217" t="s">
        <v>582</v>
      </c>
      <c r="F6" s="193" t="s">
        <v>584</v>
      </c>
      <c r="G6" s="193" t="s">
        <v>588</v>
      </c>
      <c r="H6" s="193" t="s">
        <v>591</v>
      </c>
      <c r="I6" s="193" t="s">
        <v>594</v>
      </c>
      <c r="J6" s="193" t="s">
        <v>597</v>
      </c>
      <c r="K6" s="218" t="s">
        <v>600</v>
      </c>
      <c r="L6" s="210" t="s">
        <v>699</v>
      </c>
      <c r="M6" s="11" t="s">
        <v>711</v>
      </c>
      <c r="N6" s="11" t="s">
        <v>711</v>
      </c>
      <c r="O6" s="11" t="s">
        <v>710</v>
      </c>
      <c r="P6" s="191" t="s">
        <v>713</v>
      </c>
    </row>
    <row r="7" spans="1:16" s="11" customFormat="1" ht="37.5">
      <c r="A7" s="81">
        <f>A6+1</f>
        <v>3</v>
      </c>
      <c r="B7" t="s">
        <v>1158</v>
      </c>
      <c r="C7"/>
      <c r="D7" t="s">
        <v>483</v>
      </c>
      <c r="E7" s="219" t="s">
        <v>72</v>
      </c>
      <c r="F7" s="194" t="s">
        <v>102</v>
      </c>
      <c r="G7" s="194" t="s">
        <v>530</v>
      </c>
      <c r="H7" s="194" t="s">
        <v>539</v>
      </c>
      <c r="I7" s="194" t="s">
        <v>94</v>
      </c>
      <c r="J7" s="194" t="s">
        <v>561</v>
      </c>
      <c r="K7" s="220" t="s">
        <v>494</v>
      </c>
      <c r="L7" s="210"/>
      <c r="M7" s="11" t="s">
        <v>607</v>
      </c>
      <c r="N7" s="11" t="s">
        <v>607</v>
      </c>
      <c r="P7" s="191" t="s">
        <v>638</v>
      </c>
    </row>
    <row r="8" spans="1:16" s="11" customFormat="1">
      <c r="A8" s="81">
        <f t="shared" ref="A8:A11" si="0">A7+1</f>
        <v>4</v>
      </c>
      <c r="B8" t="s">
        <v>1159</v>
      </c>
      <c r="C8"/>
      <c r="D8" t="s">
        <v>549</v>
      </c>
      <c r="E8" s="222"/>
      <c r="F8" s="227"/>
      <c r="G8" s="227"/>
      <c r="H8" s="227"/>
      <c r="I8" s="194" t="s">
        <v>550</v>
      </c>
      <c r="J8" s="227"/>
      <c r="K8" s="232"/>
      <c r="L8" s="210"/>
      <c r="M8" s="11" t="s">
        <v>608</v>
      </c>
      <c r="N8" s="11" t="s">
        <v>608</v>
      </c>
      <c r="P8" s="191"/>
    </row>
    <row r="9" spans="1:16" s="11" customFormat="1" ht="37.5">
      <c r="A9" s="81">
        <f t="shared" si="0"/>
        <v>5</v>
      </c>
      <c r="B9" t="s">
        <v>1160</v>
      </c>
      <c r="C9"/>
      <c r="D9" t="s">
        <v>438</v>
      </c>
      <c r="E9" s="219" t="s">
        <v>512</v>
      </c>
      <c r="F9" s="192" t="s">
        <v>586</v>
      </c>
      <c r="G9" s="194" t="s">
        <v>531</v>
      </c>
      <c r="H9" s="194" t="s">
        <v>603</v>
      </c>
      <c r="I9" s="227"/>
      <c r="J9" s="227"/>
      <c r="K9" s="232"/>
      <c r="L9" s="210" t="s">
        <v>700</v>
      </c>
      <c r="O9" s="11" t="s">
        <v>712</v>
      </c>
      <c r="P9" s="191" t="s">
        <v>714</v>
      </c>
    </row>
    <row r="10" spans="1:16" s="11" customFormat="1">
      <c r="A10" s="81">
        <f t="shared" si="0"/>
        <v>6</v>
      </c>
      <c r="B10" t="s">
        <v>1161</v>
      </c>
      <c r="C10"/>
      <c r="D10" t="s">
        <v>483</v>
      </c>
      <c r="E10" s="219" t="s">
        <v>513</v>
      </c>
      <c r="F10" s="194" t="s">
        <v>104</v>
      </c>
      <c r="G10" s="194" t="s">
        <v>532</v>
      </c>
      <c r="H10" s="194" t="s">
        <v>540</v>
      </c>
      <c r="I10" s="227"/>
      <c r="J10" s="227"/>
      <c r="K10" s="232"/>
      <c r="L10" s="210"/>
      <c r="P10" s="191" t="s">
        <v>639</v>
      </c>
    </row>
    <row r="11" spans="1:16" s="11" customFormat="1">
      <c r="A11" s="81">
        <f t="shared" si="0"/>
        <v>7</v>
      </c>
      <c r="B11" t="s">
        <v>482</v>
      </c>
      <c r="C11"/>
      <c r="D11" t="s">
        <v>429</v>
      </c>
      <c r="E11" s="222"/>
      <c r="F11" s="227"/>
      <c r="G11" s="227"/>
      <c r="H11" s="227"/>
      <c r="I11" s="227"/>
      <c r="J11" s="227"/>
      <c r="K11" s="232"/>
      <c r="L11" s="210" t="s">
        <v>574</v>
      </c>
      <c r="M11" s="11" t="s">
        <v>574</v>
      </c>
      <c r="N11" s="11" t="s">
        <v>574</v>
      </c>
      <c r="O11" s="11" t="s">
        <v>574</v>
      </c>
      <c r="P11" s="191" t="s">
        <v>574</v>
      </c>
    </row>
    <row r="12" spans="1:16" s="11" customFormat="1">
      <c r="A12" s="81"/>
      <c r="B12"/>
      <c r="C12" t="s">
        <v>481</v>
      </c>
      <c r="D12"/>
      <c r="E12" s="219" t="s">
        <v>514</v>
      </c>
      <c r="F12" s="194" t="s">
        <v>56</v>
      </c>
      <c r="G12" s="194" t="s">
        <v>56</v>
      </c>
      <c r="H12" s="194" t="s">
        <v>56</v>
      </c>
      <c r="I12" s="194" t="s">
        <v>56</v>
      </c>
      <c r="J12" s="194" t="s">
        <v>56</v>
      </c>
      <c r="K12" s="232"/>
      <c r="L12" s="210"/>
      <c r="P12" s="191"/>
    </row>
    <row r="13" spans="1:16" s="11" customFormat="1">
      <c r="A13" s="81">
        <f>A11+1</f>
        <v>8</v>
      </c>
      <c r="B13" t="s">
        <v>480</v>
      </c>
      <c r="C13"/>
      <c r="D13" t="s">
        <v>436</v>
      </c>
      <c r="E13" s="222"/>
      <c r="F13" s="227"/>
      <c r="G13" s="227"/>
      <c r="H13" s="227"/>
      <c r="I13" s="227"/>
      <c r="J13" s="227"/>
      <c r="K13" s="232"/>
      <c r="L13" s="210"/>
      <c r="P13" s="191"/>
    </row>
    <row r="14" spans="1:16" s="11" customFormat="1">
      <c r="A14" s="81"/>
      <c r="B14"/>
      <c r="C14" t="s">
        <v>479</v>
      </c>
      <c r="D14"/>
      <c r="E14" s="219" t="s">
        <v>515</v>
      </c>
      <c r="F14" s="194" t="s">
        <v>76</v>
      </c>
      <c r="G14" s="194" t="s">
        <v>76</v>
      </c>
      <c r="H14" s="194" t="s">
        <v>76</v>
      </c>
      <c r="I14" s="194" t="s">
        <v>76</v>
      </c>
      <c r="J14" s="194" t="s">
        <v>76</v>
      </c>
      <c r="K14" s="232"/>
      <c r="L14" s="210"/>
      <c r="P14" s="191"/>
    </row>
    <row r="15" spans="1:16" s="11" customFormat="1">
      <c r="A15" s="81">
        <f>A13+1</f>
        <v>9</v>
      </c>
      <c r="B15" t="s">
        <v>478</v>
      </c>
      <c r="C15"/>
      <c r="D15" t="s">
        <v>436</v>
      </c>
      <c r="E15" s="222"/>
      <c r="F15" s="227"/>
      <c r="G15" s="227"/>
      <c r="H15" s="227"/>
      <c r="I15" s="227"/>
      <c r="J15" s="227"/>
      <c r="K15" s="232"/>
      <c r="L15" s="210"/>
      <c r="P15" s="191"/>
    </row>
    <row r="16" spans="1:16" s="11" customFormat="1">
      <c r="A16" s="81"/>
      <c r="B16"/>
      <c r="C16" t="s">
        <v>477</v>
      </c>
      <c r="D16"/>
      <c r="E16" s="219" t="s">
        <v>516</v>
      </c>
      <c r="F16" s="194" t="s">
        <v>529</v>
      </c>
      <c r="G16" s="194" t="s">
        <v>529</v>
      </c>
      <c r="H16" s="194" t="s">
        <v>529</v>
      </c>
      <c r="I16" s="194" t="s">
        <v>529</v>
      </c>
      <c r="J16" s="194" t="s">
        <v>529</v>
      </c>
      <c r="K16" s="232"/>
      <c r="L16" s="210"/>
      <c r="P16" s="191"/>
    </row>
    <row r="17" spans="1:16" s="11" customFormat="1">
      <c r="A17" s="81">
        <f>A15+1</f>
        <v>10</v>
      </c>
      <c r="B17" s="195" t="s">
        <v>1147</v>
      </c>
      <c r="C17" s="195"/>
      <c r="D17" t="s">
        <v>436</v>
      </c>
      <c r="E17" s="223"/>
      <c r="F17" s="228"/>
      <c r="G17" s="228"/>
      <c r="H17" s="228"/>
      <c r="I17" s="228"/>
      <c r="J17" s="228"/>
      <c r="K17" s="233"/>
      <c r="L17" s="210" t="s">
        <v>1876</v>
      </c>
      <c r="M17" s="11" t="s">
        <v>609</v>
      </c>
      <c r="N17" s="11" t="s">
        <v>716</v>
      </c>
      <c r="O17" s="11" t="s">
        <v>623</v>
      </c>
      <c r="P17" s="191" t="s">
        <v>640</v>
      </c>
    </row>
    <row r="18" spans="1:16" s="11" customFormat="1">
      <c r="A18" s="81">
        <f t="shared" ref="A18:A63" si="1">A17+1</f>
        <v>11</v>
      </c>
      <c r="B18" s="195" t="s">
        <v>1148</v>
      </c>
      <c r="C18" s="195"/>
      <c r="D18" t="s">
        <v>431</v>
      </c>
      <c r="E18" s="222"/>
      <c r="F18" s="227"/>
      <c r="G18" s="227"/>
      <c r="H18" s="227"/>
      <c r="I18" s="227"/>
      <c r="J18" s="227"/>
      <c r="K18" s="232"/>
      <c r="L18" s="210" t="s">
        <v>522</v>
      </c>
      <c r="M18" s="11" t="s">
        <v>610</v>
      </c>
      <c r="N18" s="11" t="s">
        <v>717</v>
      </c>
      <c r="O18" s="11" t="s">
        <v>624</v>
      </c>
      <c r="P18" s="191" t="s">
        <v>624</v>
      </c>
    </row>
    <row r="19" spans="1:16" s="11" customFormat="1">
      <c r="A19" s="81">
        <f t="shared" si="1"/>
        <v>12</v>
      </c>
      <c r="B19" s="195" t="s">
        <v>1149</v>
      </c>
      <c r="C19" s="195"/>
      <c r="D19" t="s">
        <v>433</v>
      </c>
      <c r="E19" s="222"/>
      <c r="F19" s="227"/>
      <c r="G19" s="227"/>
      <c r="H19" s="227"/>
      <c r="I19" s="227"/>
      <c r="J19" s="227"/>
      <c r="K19" s="232"/>
      <c r="L19" s="210" t="s">
        <v>1881</v>
      </c>
      <c r="M19" s="11" t="s">
        <v>611</v>
      </c>
      <c r="N19" s="11" t="s">
        <v>718</v>
      </c>
      <c r="O19" s="11" t="s">
        <v>625</v>
      </c>
      <c r="P19" s="191" t="s">
        <v>625</v>
      </c>
    </row>
    <row r="20" spans="1:16" s="11" customFormat="1">
      <c r="A20" s="81">
        <f t="shared" si="1"/>
        <v>13</v>
      </c>
      <c r="B20" t="s">
        <v>1150</v>
      </c>
      <c r="C20"/>
      <c r="D20" t="s">
        <v>433</v>
      </c>
      <c r="E20" s="222"/>
      <c r="F20" s="227"/>
      <c r="G20" s="227"/>
      <c r="H20" s="227"/>
      <c r="I20" s="227"/>
      <c r="J20" s="227"/>
      <c r="K20" s="232"/>
      <c r="L20" s="210" t="s">
        <v>1878</v>
      </c>
      <c r="P20" s="191"/>
    </row>
    <row r="21" spans="1:16" s="11" customFormat="1">
      <c r="A21" s="81"/>
      <c r="B21"/>
      <c r="C21" t="s">
        <v>1151</v>
      </c>
      <c r="D21"/>
      <c r="E21" s="217" t="s">
        <v>581</v>
      </c>
      <c r="F21" s="193" t="s">
        <v>585</v>
      </c>
      <c r="G21" s="193" t="s">
        <v>589</v>
      </c>
      <c r="H21" s="193" t="s">
        <v>592</v>
      </c>
      <c r="I21" s="193" t="s">
        <v>595</v>
      </c>
      <c r="J21" s="193" t="s">
        <v>598</v>
      </c>
      <c r="K21" s="218" t="s">
        <v>601</v>
      </c>
      <c r="L21" s="210"/>
      <c r="P21" s="191"/>
    </row>
    <row r="22" spans="1:16" s="11" customFormat="1">
      <c r="A22" s="81"/>
      <c r="B22"/>
      <c r="C22" t="s">
        <v>1152</v>
      </c>
      <c r="D22"/>
      <c r="E22" s="219" t="s">
        <v>521</v>
      </c>
      <c r="F22" s="194" t="s">
        <v>114</v>
      </c>
      <c r="G22" s="194" t="s">
        <v>536</v>
      </c>
      <c r="H22" s="194" t="s">
        <v>545</v>
      </c>
      <c r="I22" s="194" t="s">
        <v>558</v>
      </c>
      <c r="J22" s="194" t="s">
        <v>566</v>
      </c>
      <c r="K22" s="233"/>
      <c r="L22" s="210"/>
      <c r="P22" s="191"/>
    </row>
    <row r="23" spans="1:16" s="11" customFormat="1" ht="56.25">
      <c r="A23" s="81">
        <f>A20+1</f>
        <v>14</v>
      </c>
      <c r="B23" s="195" t="s">
        <v>1153</v>
      </c>
      <c r="C23" s="195"/>
      <c r="D23" t="s">
        <v>436</v>
      </c>
      <c r="E23" s="219" t="s">
        <v>517</v>
      </c>
      <c r="F23" s="194" t="s">
        <v>113</v>
      </c>
      <c r="G23" s="194" t="s">
        <v>535</v>
      </c>
      <c r="H23" s="194" t="s">
        <v>544</v>
      </c>
      <c r="I23" s="194" t="s">
        <v>557</v>
      </c>
      <c r="J23" s="194" t="s">
        <v>565</v>
      </c>
      <c r="K23" s="220" t="s">
        <v>499</v>
      </c>
      <c r="L23" s="210" t="s">
        <v>1879</v>
      </c>
      <c r="M23" s="11" t="s">
        <v>1891</v>
      </c>
      <c r="N23" s="11" t="s">
        <v>719</v>
      </c>
      <c r="O23" s="11" t="s">
        <v>626</v>
      </c>
      <c r="P23" s="191" t="s">
        <v>641</v>
      </c>
    </row>
    <row r="24" spans="1:16" s="11" customFormat="1">
      <c r="A24" s="81">
        <f t="shared" si="1"/>
        <v>15</v>
      </c>
      <c r="B24" t="s">
        <v>1154</v>
      </c>
      <c r="C24"/>
      <c r="D24" t="s">
        <v>430</v>
      </c>
      <c r="E24" s="222"/>
      <c r="F24" s="227"/>
      <c r="G24" s="227"/>
      <c r="H24" s="227"/>
      <c r="I24" s="227"/>
      <c r="J24" s="227"/>
      <c r="K24" s="232"/>
      <c r="L24" s="210" t="s">
        <v>575</v>
      </c>
      <c r="M24" s="11" t="s">
        <v>575</v>
      </c>
      <c r="N24" s="11" t="s">
        <v>575</v>
      </c>
      <c r="O24" s="11" t="s">
        <v>575</v>
      </c>
      <c r="P24" s="191" t="s">
        <v>575</v>
      </c>
    </row>
    <row r="25" spans="1:16" s="11" customFormat="1">
      <c r="A25" s="81"/>
      <c r="B25"/>
      <c r="C25" t="s">
        <v>1155</v>
      </c>
      <c r="D25"/>
      <c r="E25" s="217" t="s">
        <v>583</v>
      </c>
      <c r="F25" s="193" t="s">
        <v>587</v>
      </c>
      <c r="G25" s="193" t="s">
        <v>590</v>
      </c>
      <c r="H25" s="193" t="s">
        <v>593</v>
      </c>
      <c r="I25" s="193" t="s">
        <v>596</v>
      </c>
      <c r="J25" s="193" t="s">
        <v>599</v>
      </c>
      <c r="K25" s="218" t="s">
        <v>602</v>
      </c>
      <c r="L25" s="210"/>
      <c r="P25" s="191"/>
    </row>
    <row r="26" spans="1:16" s="11" customFormat="1" ht="112.5">
      <c r="A26" s="81">
        <f>A24+1</f>
        <v>16</v>
      </c>
      <c r="B26" s="195" t="s">
        <v>476</v>
      </c>
      <c r="C26" s="195"/>
      <c r="D26" t="s">
        <v>436</v>
      </c>
      <c r="E26" s="222"/>
      <c r="F26" s="227"/>
      <c r="G26" s="227"/>
      <c r="H26" s="227"/>
      <c r="I26" s="227"/>
      <c r="J26" s="227"/>
      <c r="K26" s="232"/>
      <c r="L26" s="210" t="s">
        <v>1890</v>
      </c>
      <c r="M26" s="11" t="s">
        <v>1828</v>
      </c>
      <c r="P26" s="191"/>
    </row>
    <row r="27" spans="1:16" s="11" customFormat="1">
      <c r="A27" s="81">
        <f t="shared" si="1"/>
        <v>17</v>
      </c>
      <c r="B27" s="195" t="s">
        <v>475</v>
      </c>
      <c r="C27" s="195"/>
      <c r="D27" t="s">
        <v>431</v>
      </c>
      <c r="E27" s="222"/>
      <c r="F27" s="227"/>
      <c r="G27" s="227"/>
      <c r="H27" s="227"/>
      <c r="I27" s="227"/>
      <c r="J27" s="227"/>
      <c r="K27" s="232"/>
      <c r="L27" s="210" t="s">
        <v>576</v>
      </c>
      <c r="M27" s="11" t="s">
        <v>576</v>
      </c>
      <c r="P27" s="191"/>
    </row>
    <row r="28" spans="1:16" s="11" customFormat="1">
      <c r="A28" s="81">
        <f t="shared" si="1"/>
        <v>18</v>
      </c>
      <c r="B28" s="195" t="s">
        <v>474</v>
      </c>
      <c r="C28" s="195"/>
      <c r="D28" t="s">
        <v>433</v>
      </c>
      <c r="E28" s="222"/>
      <c r="F28" s="227"/>
      <c r="G28" s="227"/>
      <c r="H28" s="227"/>
      <c r="I28" s="227"/>
      <c r="J28" s="227"/>
      <c r="K28" s="232"/>
      <c r="L28" s="210" t="s">
        <v>1880</v>
      </c>
      <c r="M28" s="11" t="s">
        <v>612</v>
      </c>
      <c r="P28" s="191"/>
    </row>
    <row r="29" spans="1:16" s="11" customFormat="1">
      <c r="A29" s="81">
        <f t="shared" si="1"/>
        <v>19</v>
      </c>
      <c r="B29" t="s">
        <v>1139</v>
      </c>
      <c r="C29"/>
      <c r="D29" t="s">
        <v>433</v>
      </c>
      <c r="E29" s="222"/>
      <c r="F29" s="227"/>
      <c r="G29" s="227"/>
      <c r="H29" s="227"/>
      <c r="I29" s="227"/>
      <c r="J29" s="227"/>
      <c r="K29" s="232"/>
      <c r="L29" s="210"/>
      <c r="P29" s="191"/>
    </row>
    <row r="30" spans="1:16" s="11" customFormat="1">
      <c r="A30" s="81"/>
      <c r="B30"/>
      <c r="C30" t="s">
        <v>523</v>
      </c>
      <c r="D30"/>
      <c r="E30" s="222"/>
      <c r="F30" s="227"/>
      <c r="G30" s="227"/>
      <c r="H30" s="194" t="s">
        <v>556</v>
      </c>
      <c r="I30" s="194" t="s">
        <v>556</v>
      </c>
      <c r="J30" s="194" t="s">
        <v>556</v>
      </c>
      <c r="K30" s="232"/>
      <c r="L30" s="210"/>
      <c r="P30" s="191"/>
    </row>
    <row r="31" spans="1:16" s="11" customFormat="1">
      <c r="A31" s="81"/>
      <c r="B31"/>
      <c r="C31" t="s">
        <v>524</v>
      </c>
      <c r="D31"/>
      <c r="E31" s="222"/>
      <c r="F31" s="227"/>
      <c r="G31" s="227"/>
      <c r="H31" s="227"/>
      <c r="I31" s="227"/>
      <c r="J31" s="227"/>
      <c r="K31" s="232"/>
      <c r="L31" s="210"/>
      <c r="P31" s="191"/>
    </row>
    <row r="32" spans="1:16" s="11" customFormat="1" ht="37.5">
      <c r="A32" s="81">
        <f>A29+1</f>
        <v>20</v>
      </c>
      <c r="B32" s="195" t="s">
        <v>604</v>
      </c>
      <c r="C32" s="195"/>
      <c r="D32" t="s">
        <v>436</v>
      </c>
      <c r="E32" s="222"/>
      <c r="F32" s="227"/>
      <c r="G32" s="227"/>
      <c r="H32" s="227"/>
      <c r="I32" s="194" t="s">
        <v>560</v>
      </c>
      <c r="J32" s="194" t="s">
        <v>90</v>
      </c>
      <c r="K32" s="232"/>
      <c r="L32" s="210" t="s">
        <v>1879</v>
      </c>
      <c r="M32" s="11" t="s">
        <v>1829</v>
      </c>
      <c r="P32" s="191"/>
    </row>
    <row r="33" spans="1:16" s="11" customFormat="1">
      <c r="A33" s="81">
        <f t="shared" si="1"/>
        <v>21</v>
      </c>
      <c r="B33" s="195" t="s">
        <v>473</v>
      </c>
      <c r="C33" s="195"/>
      <c r="D33" t="s">
        <v>430</v>
      </c>
      <c r="E33" s="224"/>
      <c r="F33" s="229"/>
      <c r="G33" s="229"/>
      <c r="H33" s="229"/>
      <c r="I33" s="229"/>
      <c r="J33" s="229"/>
      <c r="K33" s="234"/>
      <c r="L33" s="210"/>
      <c r="M33" s="11" t="s">
        <v>613</v>
      </c>
      <c r="O33" s="11" t="s">
        <v>627</v>
      </c>
      <c r="P33" s="191" t="s">
        <v>643</v>
      </c>
    </row>
    <row r="34" spans="1:16" s="11" customFormat="1">
      <c r="A34" s="81">
        <f t="shared" si="1"/>
        <v>22</v>
      </c>
      <c r="B34" s="195" t="s">
        <v>472</v>
      </c>
      <c r="C34" s="195"/>
      <c r="D34" t="s">
        <v>431</v>
      </c>
      <c r="E34" s="222"/>
      <c r="F34" s="227"/>
      <c r="G34" s="227"/>
      <c r="H34" s="227"/>
      <c r="I34" s="227"/>
      <c r="J34" s="227"/>
      <c r="K34" s="232"/>
      <c r="L34" s="210"/>
      <c r="M34" s="11" t="s">
        <v>614</v>
      </c>
      <c r="O34" s="11" t="s">
        <v>614</v>
      </c>
      <c r="P34" s="191" t="s">
        <v>614</v>
      </c>
    </row>
    <row r="35" spans="1:16" s="11" customFormat="1">
      <c r="A35" s="81">
        <f t="shared" si="1"/>
        <v>23</v>
      </c>
      <c r="B35" s="195" t="s">
        <v>471</v>
      </c>
      <c r="C35" s="195"/>
      <c r="D35" t="s">
        <v>433</v>
      </c>
      <c r="E35" s="222"/>
      <c r="F35" s="227"/>
      <c r="G35" s="227"/>
      <c r="H35" s="227"/>
      <c r="I35" s="227"/>
      <c r="J35" s="227"/>
      <c r="K35" s="232"/>
      <c r="L35" s="210"/>
      <c r="M35" s="11" t="s">
        <v>615</v>
      </c>
      <c r="O35" s="11" t="s">
        <v>629</v>
      </c>
      <c r="P35" s="191" t="s">
        <v>629</v>
      </c>
    </row>
    <row r="36" spans="1:16" s="11" customFormat="1">
      <c r="A36" s="81">
        <f t="shared" si="1"/>
        <v>24</v>
      </c>
      <c r="B36" t="s">
        <v>1140</v>
      </c>
      <c r="C36"/>
      <c r="D36" t="s">
        <v>433</v>
      </c>
      <c r="E36" s="222"/>
      <c r="F36" s="227"/>
      <c r="G36" s="227"/>
      <c r="H36" s="227"/>
      <c r="I36" s="227"/>
      <c r="J36" s="227"/>
      <c r="K36" s="232"/>
      <c r="L36" s="210"/>
      <c r="P36" s="191"/>
    </row>
    <row r="37" spans="1:16" s="11" customFormat="1">
      <c r="A37" s="81"/>
      <c r="B37"/>
      <c r="C37" t="s">
        <v>546</v>
      </c>
      <c r="D37"/>
      <c r="E37" s="222"/>
      <c r="F37" s="227"/>
      <c r="G37" s="227"/>
      <c r="H37" s="194" t="s">
        <v>495</v>
      </c>
      <c r="I37" s="194" t="s">
        <v>495</v>
      </c>
      <c r="J37" s="194" t="s">
        <v>495</v>
      </c>
      <c r="K37" s="220" t="s">
        <v>495</v>
      </c>
      <c r="L37" s="210"/>
      <c r="P37" s="191"/>
    </row>
    <row r="38" spans="1:16" s="11" customFormat="1">
      <c r="A38" s="81"/>
      <c r="B38"/>
      <c r="C38" t="s">
        <v>547</v>
      </c>
      <c r="D38"/>
      <c r="E38" s="222"/>
      <c r="F38" s="227"/>
      <c r="G38" s="227"/>
      <c r="H38" s="194" t="s">
        <v>548</v>
      </c>
      <c r="I38" s="194" t="s">
        <v>559</v>
      </c>
      <c r="J38" s="227"/>
      <c r="K38" s="232"/>
      <c r="L38" s="210"/>
      <c r="P38" s="191"/>
    </row>
    <row r="39" spans="1:16" s="11" customFormat="1" ht="37.5">
      <c r="A39" s="81">
        <f>A36+1</f>
        <v>25</v>
      </c>
      <c r="B39" s="195" t="s">
        <v>605</v>
      </c>
      <c r="C39" s="195"/>
      <c r="D39" t="s">
        <v>430</v>
      </c>
      <c r="E39" s="222"/>
      <c r="F39" s="194" t="s">
        <v>116</v>
      </c>
      <c r="G39" s="227"/>
      <c r="H39" s="194" t="s">
        <v>89</v>
      </c>
      <c r="I39" s="194" t="s">
        <v>89</v>
      </c>
      <c r="J39" s="194" t="s">
        <v>89</v>
      </c>
      <c r="K39" s="220" t="s">
        <v>89</v>
      </c>
      <c r="L39" s="210"/>
      <c r="M39" s="11" t="s">
        <v>613</v>
      </c>
      <c r="O39" s="11" t="s">
        <v>628</v>
      </c>
      <c r="P39" s="191" t="s">
        <v>644</v>
      </c>
    </row>
    <row r="40" spans="1:16" s="11" customFormat="1">
      <c r="A40" s="81">
        <f t="shared" si="1"/>
        <v>26</v>
      </c>
      <c r="B40" t="s">
        <v>470</v>
      </c>
      <c r="C40"/>
      <c r="D40" t="s">
        <v>463</v>
      </c>
      <c r="E40" s="222"/>
      <c r="F40" s="227"/>
      <c r="G40" s="227"/>
      <c r="H40" s="227"/>
      <c r="I40" s="194" t="s">
        <v>553</v>
      </c>
      <c r="J40" s="194" t="s">
        <v>88</v>
      </c>
      <c r="K40" s="232"/>
      <c r="L40" s="210"/>
      <c r="M40" s="11" t="s">
        <v>616</v>
      </c>
      <c r="P40" s="191"/>
    </row>
    <row r="41" spans="1:16" s="11" customFormat="1">
      <c r="A41" s="81">
        <f t="shared" si="1"/>
        <v>27</v>
      </c>
      <c r="B41" s="195" t="s">
        <v>469</v>
      </c>
      <c r="C41" s="195"/>
      <c r="D41" t="s">
        <v>430</v>
      </c>
      <c r="E41" s="222"/>
      <c r="F41" s="227"/>
      <c r="G41" s="227"/>
      <c r="H41" s="227"/>
      <c r="I41" s="227"/>
      <c r="J41" s="194" t="s">
        <v>554</v>
      </c>
      <c r="K41" s="232"/>
      <c r="L41" s="210"/>
      <c r="P41" s="191"/>
    </row>
    <row r="42" spans="1:16" s="11" customFormat="1">
      <c r="A42" s="81">
        <f t="shared" si="1"/>
        <v>28</v>
      </c>
      <c r="B42" s="195" t="s">
        <v>468</v>
      </c>
      <c r="C42" s="195"/>
      <c r="D42" t="s">
        <v>431</v>
      </c>
      <c r="E42" s="222"/>
      <c r="F42" s="227"/>
      <c r="G42" s="227"/>
      <c r="H42" s="227"/>
      <c r="I42" s="227"/>
      <c r="J42" s="227"/>
      <c r="K42" s="232"/>
      <c r="L42" s="210"/>
      <c r="P42" s="191"/>
    </row>
    <row r="43" spans="1:16" s="11" customFormat="1">
      <c r="A43" s="81">
        <f t="shared" si="1"/>
        <v>29</v>
      </c>
      <c r="B43" s="195" t="s">
        <v>467</v>
      </c>
      <c r="C43" s="195"/>
      <c r="D43" t="s">
        <v>433</v>
      </c>
      <c r="E43" s="222"/>
      <c r="F43" s="227"/>
      <c r="G43" s="227"/>
      <c r="H43" s="227"/>
      <c r="I43" s="227"/>
      <c r="J43" s="227"/>
      <c r="K43" s="232"/>
      <c r="L43" s="210"/>
      <c r="P43" s="191"/>
    </row>
    <row r="44" spans="1:16" s="11" customFormat="1">
      <c r="A44" s="81">
        <f t="shared" si="1"/>
        <v>30</v>
      </c>
      <c r="B44" t="s">
        <v>1141</v>
      </c>
      <c r="C44"/>
      <c r="D44" t="s">
        <v>433</v>
      </c>
      <c r="E44" s="222"/>
      <c r="F44" s="227"/>
      <c r="G44" s="227"/>
      <c r="H44" s="227"/>
      <c r="I44" s="227"/>
      <c r="J44" s="227"/>
      <c r="K44" s="232"/>
      <c r="L44" s="210"/>
      <c r="P44" s="191"/>
    </row>
    <row r="45" spans="1:16" s="11" customFormat="1">
      <c r="A45" s="81"/>
      <c r="B45"/>
      <c r="C45" t="s">
        <v>563</v>
      </c>
      <c r="D45"/>
      <c r="E45" s="222"/>
      <c r="F45" s="227"/>
      <c r="G45" s="227"/>
      <c r="H45" s="227"/>
      <c r="I45" s="227"/>
      <c r="J45" s="194" t="s">
        <v>564</v>
      </c>
      <c r="K45" s="232"/>
      <c r="L45" s="210"/>
      <c r="P45" s="191"/>
    </row>
    <row r="46" spans="1:16" s="11" customFormat="1">
      <c r="A46" s="81">
        <f>A43+1</f>
        <v>30</v>
      </c>
      <c r="B46" s="195" t="s">
        <v>645</v>
      </c>
      <c r="C46" s="195"/>
      <c r="D46" t="s">
        <v>430</v>
      </c>
      <c r="E46" s="222"/>
      <c r="F46" s="227"/>
      <c r="G46" s="227"/>
      <c r="H46" s="227"/>
      <c r="I46" s="227"/>
      <c r="J46" s="194" t="s">
        <v>554</v>
      </c>
      <c r="K46" s="232"/>
      <c r="L46" s="210"/>
      <c r="P46" s="191"/>
    </row>
    <row r="47" spans="1:16" s="11" customFormat="1">
      <c r="A47" s="81">
        <f t="shared" si="1"/>
        <v>31</v>
      </c>
      <c r="B47" t="s">
        <v>466</v>
      </c>
      <c r="C47"/>
      <c r="D47" t="s">
        <v>562</v>
      </c>
      <c r="E47" s="222"/>
      <c r="F47" s="227"/>
      <c r="G47" s="227"/>
      <c r="H47" s="227"/>
      <c r="I47" s="227"/>
      <c r="J47" s="194" t="s">
        <v>555</v>
      </c>
      <c r="K47" s="232"/>
      <c r="L47" s="210" t="s">
        <v>577</v>
      </c>
      <c r="M47" s="11" t="s">
        <v>704</v>
      </c>
      <c r="P47" s="191"/>
    </row>
    <row r="48" spans="1:16" s="11" customFormat="1" ht="37.5">
      <c r="A48" s="81">
        <f>A47+1</f>
        <v>32</v>
      </c>
      <c r="B48" t="s">
        <v>465</v>
      </c>
      <c r="C48"/>
      <c r="D48" t="s">
        <v>463</v>
      </c>
      <c r="E48" s="222"/>
      <c r="F48" s="227"/>
      <c r="G48" s="227"/>
      <c r="H48" s="227"/>
      <c r="I48" s="194" t="s">
        <v>96</v>
      </c>
      <c r="J48" s="227"/>
      <c r="K48" s="232"/>
      <c r="L48" s="210"/>
      <c r="M48" s="11" t="s">
        <v>708</v>
      </c>
      <c r="P48" s="191"/>
    </row>
    <row r="49" spans="1:16" s="11" customFormat="1" ht="37.5">
      <c r="A49" s="81">
        <f t="shared" si="1"/>
        <v>33</v>
      </c>
      <c r="B49" t="s">
        <v>464</v>
      </c>
      <c r="C49"/>
      <c r="D49" t="s">
        <v>463</v>
      </c>
      <c r="E49" s="222"/>
      <c r="F49" s="227"/>
      <c r="G49" s="227"/>
      <c r="H49" s="227"/>
      <c r="I49" s="194" t="s">
        <v>97</v>
      </c>
      <c r="J49" s="227"/>
      <c r="K49" s="232"/>
      <c r="L49" s="210"/>
      <c r="M49" s="11" t="s">
        <v>709</v>
      </c>
      <c r="P49" s="191"/>
    </row>
    <row r="50" spans="1:16" s="11" customFormat="1" ht="37.5">
      <c r="A50" s="81">
        <f t="shared" si="1"/>
        <v>34</v>
      </c>
      <c r="B50" s="195" t="s">
        <v>462</v>
      </c>
      <c r="C50" s="195"/>
      <c r="D50" t="s">
        <v>430</v>
      </c>
      <c r="E50" s="222"/>
      <c r="F50" s="227"/>
      <c r="G50" s="227"/>
      <c r="H50" s="227"/>
      <c r="I50" s="227"/>
      <c r="J50" s="227"/>
      <c r="K50" s="232"/>
      <c r="L50" s="210"/>
      <c r="M50" s="11" t="s">
        <v>705</v>
      </c>
      <c r="P50" s="191"/>
    </row>
    <row r="51" spans="1:16" s="11" customFormat="1">
      <c r="A51" s="81">
        <f t="shared" si="1"/>
        <v>35</v>
      </c>
      <c r="B51" s="195" t="s">
        <v>461</v>
      </c>
      <c r="C51" s="195"/>
      <c r="D51" t="s">
        <v>431</v>
      </c>
      <c r="E51" s="222"/>
      <c r="F51" s="227"/>
      <c r="G51" s="227"/>
      <c r="H51" s="227"/>
      <c r="I51" s="227"/>
      <c r="J51" s="227"/>
      <c r="K51" s="232"/>
      <c r="L51" s="210"/>
      <c r="M51" s="11" t="s">
        <v>618</v>
      </c>
      <c r="P51" s="191"/>
    </row>
    <row r="52" spans="1:16" s="11" customFormat="1">
      <c r="A52" s="81">
        <f t="shared" si="1"/>
        <v>36</v>
      </c>
      <c r="B52" s="195" t="s">
        <v>460</v>
      </c>
      <c r="C52" s="195"/>
      <c r="D52" t="s">
        <v>433</v>
      </c>
      <c r="E52" s="222"/>
      <c r="F52" s="227"/>
      <c r="G52" s="227"/>
      <c r="H52" s="227"/>
      <c r="I52" s="227"/>
      <c r="J52" s="227"/>
      <c r="K52" s="232"/>
      <c r="L52" s="210"/>
      <c r="M52" s="11" t="s">
        <v>619</v>
      </c>
      <c r="P52" s="191"/>
    </row>
    <row r="53" spans="1:16" s="11" customFormat="1">
      <c r="A53" s="81">
        <f t="shared" si="1"/>
        <v>37</v>
      </c>
      <c r="B53" t="s">
        <v>1142</v>
      </c>
      <c r="C53"/>
      <c r="D53" t="s">
        <v>433</v>
      </c>
      <c r="E53" s="222"/>
      <c r="F53" s="227"/>
      <c r="G53" s="227"/>
      <c r="H53" s="227"/>
      <c r="I53" s="227"/>
      <c r="J53" s="227"/>
      <c r="K53" s="232"/>
      <c r="L53" s="210"/>
      <c r="P53" s="191"/>
    </row>
    <row r="54" spans="1:16" s="11" customFormat="1">
      <c r="A54" s="81"/>
      <c r="B54"/>
      <c r="C54" t="s">
        <v>551</v>
      </c>
      <c r="D54"/>
      <c r="E54" s="222"/>
      <c r="F54" s="227"/>
      <c r="G54" s="227"/>
      <c r="H54" s="227"/>
      <c r="I54" s="194" t="s">
        <v>552</v>
      </c>
      <c r="J54" s="227"/>
      <c r="K54" s="232"/>
      <c r="L54" s="210"/>
      <c r="P54" s="191"/>
    </row>
    <row r="55" spans="1:16" s="11" customFormat="1" ht="37.5">
      <c r="A55" s="81">
        <f>A52+1</f>
        <v>37</v>
      </c>
      <c r="B55" s="195" t="s">
        <v>646</v>
      </c>
      <c r="C55" s="195"/>
      <c r="D55" t="s">
        <v>430</v>
      </c>
      <c r="E55" s="222"/>
      <c r="F55" s="227"/>
      <c r="G55" s="227"/>
      <c r="H55" s="227"/>
      <c r="I55" s="227"/>
      <c r="J55" s="227"/>
      <c r="K55" s="232"/>
      <c r="L55" s="210"/>
      <c r="M55" s="11" t="s">
        <v>617</v>
      </c>
      <c r="P55" s="191"/>
    </row>
    <row r="56" spans="1:16" s="11" customFormat="1">
      <c r="A56" s="81">
        <f t="shared" si="1"/>
        <v>38</v>
      </c>
      <c r="B56" t="s">
        <v>459</v>
      </c>
      <c r="C56"/>
      <c r="D56" t="s">
        <v>458</v>
      </c>
      <c r="E56" s="222"/>
      <c r="F56" s="194" t="s">
        <v>87</v>
      </c>
      <c r="G56" s="194" t="s">
        <v>87</v>
      </c>
      <c r="H56" s="194" t="s">
        <v>87</v>
      </c>
      <c r="I56" s="227"/>
      <c r="J56" s="227"/>
      <c r="K56" s="220" t="s">
        <v>87</v>
      </c>
      <c r="L56" s="210"/>
      <c r="O56" s="11" t="s">
        <v>630</v>
      </c>
      <c r="P56" s="191" t="s">
        <v>642</v>
      </c>
    </row>
    <row r="57" spans="1:16" s="11" customFormat="1">
      <c r="A57" s="81">
        <f>A56+1</f>
        <v>39</v>
      </c>
      <c r="B57" s="195" t="s">
        <v>457</v>
      </c>
      <c r="C57" s="195"/>
      <c r="D57" t="s">
        <v>430</v>
      </c>
      <c r="E57" s="222"/>
      <c r="F57" s="227"/>
      <c r="G57" s="227"/>
      <c r="H57" s="227"/>
      <c r="I57" s="227"/>
      <c r="J57" s="227"/>
      <c r="K57" s="220" t="s">
        <v>500</v>
      </c>
      <c r="L57" s="210"/>
      <c r="P57" s="191"/>
    </row>
    <row r="58" spans="1:16" s="11" customFormat="1">
      <c r="A58" s="81">
        <f t="shared" si="1"/>
        <v>40</v>
      </c>
      <c r="B58" s="195" t="s">
        <v>456</v>
      </c>
      <c r="C58" s="195"/>
      <c r="D58" t="s">
        <v>431</v>
      </c>
      <c r="E58" s="222"/>
      <c r="F58" s="227"/>
      <c r="G58" s="227"/>
      <c r="H58" s="227"/>
      <c r="I58" s="227"/>
      <c r="J58" s="227"/>
      <c r="K58" s="232"/>
      <c r="L58" s="210"/>
      <c r="P58" s="191"/>
    </row>
    <row r="59" spans="1:16" s="11" customFormat="1">
      <c r="A59" s="81">
        <f t="shared" si="1"/>
        <v>41</v>
      </c>
      <c r="B59" s="195" t="s">
        <v>455</v>
      </c>
      <c r="C59" s="195"/>
      <c r="D59" t="s">
        <v>433</v>
      </c>
      <c r="E59" s="222"/>
      <c r="F59" s="227"/>
      <c r="G59" s="227"/>
      <c r="H59" s="227"/>
      <c r="I59" s="227"/>
      <c r="J59" s="227"/>
      <c r="K59" s="232"/>
      <c r="L59" s="210"/>
      <c r="P59" s="191"/>
    </row>
    <row r="60" spans="1:16" s="11" customFormat="1">
      <c r="A60" s="81">
        <f t="shared" si="1"/>
        <v>42</v>
      </c>
      <c r="B60" t="s">
        <v>1143</v>
      </c>
      <c r="C60"/>
      <c r="D60" t="s">
        <v>433</v>
      </c>
      <c r="E60" s="222"/>
      <c r="F60" s="227"/>
      <c r="G60" s="227"/>
      <c r="H60" s="227"/>
      <c r="I60" s="227"/>
      <c r="J60" s="227"/>
      <c r="K60" s="232"/>
      <c r="L60" s="210"/>
      <c r="P60" s="191"/>
    </row>
    <row r="61" spans="1:16" s="11" customFormat="1">
      <c r="A61" s="81"/>
      <c r="B61"/>
      <c r="C61" t="s">
        <v>567</v>
      </c>
      <c r="D61"/>
      <c r="E61" s="222"/>
      <c r="F61" s="227"/>
      <c r="G61" s="227"/>
      <c r="H61" s="227"/>
      <c r="I61" s="227"/>
      <c r="J61" s="227"/>
      <c r="K61" s="220" t="s">
        <v>496</v>
      </c>
      <c r="L61" s="210"/>
      <c r="P61" s="191"/>
    </row>
    <row r="62" spans="1:16" s="11" customFormat="1">
      <c r="A62" s="81">
        <f>A60+1</f>
        <v>43</v>
      </c>
      <c r="B62" t="s">
        <v>454</v>
      </c>
      <c r="C62"/>
      <c r="D62" t="s">
        <v>430</v>
      </c>
      <c r="E62" s="222"/>
      <c r="F62" s="227"/>
      <c r="G62" s="227"/>
      <c r="H62" s="227"/>
      <c r="I62" s="227"/>
      <c r="J62" s="227"/>
      <c r="K62" s="220" t="s">
        <v>498</v>
      </c>
      <c r="L62" s="210"/>
      <c r="P62" s="191"/>
    </row>
    <row r="63" spans="1:16" s="11" customFormat="1" ht="37.5">
      <c r="A63" s="81">
        <f t="shared" si="1"/>
        <v>44</v>
      </c>
      <c r="B63" s="195" t="s">
        <v>453</v>
      </c>
      <c r="C63" s="195"/>
      <c r="D63" t="s">
        <v>430</v>
      </c>
      <c r="E63" s="219" t="s">
        <v>520</v>
      </c>
      <c r="F63" s="227"/>
      <c r="G63" s="227"/>
      <c r="H63" s="227"/>
      <c r="I63" s="227"/>
      <c r="J63" s="227"/>
      <c r="K63" s="220" t="s">
        <v>501</v>
      </c>
      <c r="L63" s="210" t="s">
        <v>579</v>
      </c>
      <c r="M63" s="11" t="s">
        <v>620</v>
      </c>
      <c r="P63" s="191" t="s">
        <v>647</v>
      </c>
    </row>
    <row r="64" spans="1:16" s="11" customFormat="1">
      <c r="A64" s="81">
        <f t="shared" ref="A64:A90" si="2">A63+1</f>
        <v>45</v>
      </c>
      <c r="B64" s="195" t="s">
        <v>452</v>
      </c>
      <c r="C64" s="195"/>
      <c r="D64" t="s">
        <v>431</v>
      </c>
      <c r="E64" s="222"/>
      <c r="F64" s="227"/>
      <c r="G64" s="227"/>
      <c r="H64" s="227"/>
      <c r="I64" s="227"/>
      <c r="J64" s="227"/>
      <c r="K64" s="232"/>
      <c r="L64" s="210" t="s">
        <v>701</v>
      </c>
      <c r="P64" s="191"/>
    </row>
    <row r="65" spans="1:16" s="11" customFormat="1">
      <c r="A65" s="81">
        <f t="shared" si="2"/>
        <v>46</v>
      </c>
      <c r="B65" s="195" t="s">
        <v>451</v>
      </c>
      <c r="C65" s="195"/>
      <c r="D65" t="s">
        <v>433</v>
      </c>
      <c r="E65" s="222"/>
      <c r="F65" s="227"/>
      <c r="G65" s="227"/>
      <c r="H65" s="227"/>
      <c r="I65" s="227"/>
      <c r="J65" s="227"/>
      <c r="K65" s="232"/>
      <c r="L65" s="210" t="s">
        <v>702</v>
      </c>
      <c r="P65" s="191"/>
    </row>
    <row r="66" spans="1:16" s="11" customFormat="1">
      <c r="A66" s="81">
        <f t="shared" si="2"/>
        <v>47</v>
      </c>
      <c r="B66" t="s">
        <v>1144</v>
      </c>
      <c r="C66"/>
      <c r="D66" t="s">
        <v>433</v>
      </c>
      <c r="E66" s="222"/>
      <c r="F66" s="227"/>
      <c r="G66" s="227"/>
      <c r="H66" s="227"/>
      <c r="I66" s="227"/>
      <c r="J66" s="227"/>
      <c r="K66" s="232"/>
      <c r="L66" s="210"/>
      <c r="P66" s="191"/>
    </row>
    <row r="67" spans="1:16" s="11" customFormat="1">
      <c r="A67" s="81"/>
      <c r="B67"/>
      <c r="C67" t="s">
        <v>519</v>
      </c>
      <c r="D67"/>
      <c r="E67" s="219" t="s">
        <v>518</v>
      </c>
      <c r="F67" s="227"/>
      <c r="G67" s="227"/>
      <c r="H67" s="227"/>
      <c r="I67" s="227"/>
      <c r="J67" s="227"/>
      <c r="K67" s="220" t="s">
        <v>497</v>
      </c>
      <c r="L67" s="210"/>
      <c r="P67" s="191"/>
    </row>
    <row r="68" spans="1:16" s="11" customFormat="1" ht="56.25">
      <c r="A68" s="81">
        <f>A66+1</f>
        <v>48</v>
      </c>
      <c r="B68" s="195" t="s">
        <v>578</v>
      </c>
      <c r="C68" s="195"/>
      <c r="D68" t="s">
        <v>430</v>
      </c>
      <c r="E68" s="219" t="s">
        <v>520</v>
      </c>
      <c r="F68" s="227"/>
      <c r="G68" s="227"/>
      <c r="H68" s="227"/>
      <c r="I68" s="227"/>
      <c r="J68" s="227"/>
      <c r="K68" s="220" t="s">
        <v>501</v>
      </c>
      <c r="L68" s="210" t="s">
        <v>703</v>
      </c>
      <c r="M68" s="11" t="s">
        <v>620</v>
      </c>
      <c r="P68" s="191" t="s">
        <v>647</v>
      </c>
    </row>
    <row r="69" spans="1:16" s="11" customFormat="1">
      <c r="A69" s="81">
        <v>37</v>
      </c>
      <c r="B69" t="s">
        <v>450</v>
      </c>
      <c r="C69"/>
      <c r="D69" t="s">
        <v>430</v>
      </c>
      <c r="E69" s="222"/>
      <c r="F69" s="227"/>
      <c r="G69" s="227"/>
      <c r="H69" s="194" t="s">
        <v>541</v>
      </c>
      <c r="I69" s="227"/>
      <c r="J69" s="227"/>
      <c r="K69" s="232"/>
      <c r="L69" s="210"/>
      <c r="P69" s="191"/>
    </row>
    <row r="70" spans="1:16" s="11" customFormat="1">
      <c r="A70" s="81">
        <v>37</v>
      </c>
      <c r="B70" t="s">
        <v>542</v>
      </c>
      <c r="C70"/>
      <c r="D70" t="s">
        <v>430</v>
      </c>
      <c r="E70" s="222"/>
      <c r="F70" s="227"/>
      <c r="G70" s="227"/>
      <c r="H70" s="194" t="s">
        <v>543</v>
      </c>
      <c r="I70" s="227"/>
      <c r="J70" s="227"/>
      <c r="K70" s="232"/>
      <c r="L70" s="210"/>
      <c r="P70" s="191"/>
    </row>
    <row r="71" spans="1:16" s="11" customFormat="1">
      <c r="A71" s="81">
        <v>38</v>
      </c>
      <c r="B71" s="195" t="s">
        <v>449</v>
      </c>
      <c r="C71" s="195"/>
      <c r="D71" t="s">
        <v>430</v>
      </c>
      <c r="E71" s="222"/>
      <c r="F71" s="227"/>
      <c r="G71" s="194" t="s">
        <v>537</v>
      </c>
      <c r="H71" s="227"/>
      <c r="I71" s="227"/>
      <c r="J71" s="227"/>
      <c r="K71" s="232"/>
      <c r="L71" s="210"/>
      <c r="P71" s="191"/>
    </row>
    <row r="72" spans="1:16" s="11" customFormat="1">
      <c r="A72" s="81">
        <v>39</v>
      </c>
      <c r="B72" s="195" t="s">
        <v>448</v>
      </c>
      <c r="C72" s="195"/>
      <c r="D72" t="s">
        <v>431</v>
      </c>
      <c r="E72" s="222"/>
      <c r="F72" s="227"/>
      <c r="G72" s="227"/>
      <c r="H72" s="227"/>
      <c r="I72" s="227"/>
      <c r="J72" s="227"/>
      <c r="K72" s="232"/>
      <c r="L72" s="210"/>
      <c r="P72" s="191"/>
    </row>
    <row r="73" spans="1:16" s="11" customFormat="1">
      <c r="A73" s="81">
        <v>40</v>
      </c>
      <c r="B73" s="195" t="s">
        <v>447</v>
      </c>
      <c r="C73" s="195"/>
      <c r="D73" t="s">
        <v>433</v>
      </c>
      <c r="E73" s="222"/>
      <c r="F73" s="227"/>
      <c r="G73" s="227"/>
      <c r="H73" s="227"/>
      <c r="I73" s="227"/>
      <c r="J73" s="227"/>
      <c r="K73" s="232"/>
      <c r="L73" s="210"/>
      <c r="P73" s="191"/>
    </row>
    <row r="74" spans="1:16" s="11" customFormat="1">
      <c r="A74" s="81">
        <v>41</v>
      </c>
      <c r="B74" t="s">
        <v>1145</v>
      </c>
      <c r="C74"/>
      <c r="D74" t="s">
        <v>433</v>
      </c>
      <c r="E74" s="222"/>
      <c r="F74" s="227"/>
      <c r="G74" s="227"/>
      <c r="H74" s="227"/>
      <c r="I74" s="227"/>
      <c r="J74" s="227"/>
      <c r="K74" s="232"/>
      <c r="L74" s="210"/>
      <c r="P74" s="191"/>
    </row>
    <row r="75" spans="1:16" s="11" customFormat="1">
      <c r="A75" s="81"/>
      <c r="B75"/>
      <c r="C75" t="s">
        <v>533</v>
      </c>
      <c r="D75"/>
      <c r="E75" s="222"/>
      <c r="F75" s="194" t="s">
        <v>534</v>
      </c>
      <c r="G75" s="227"/>
      <c r="H75" s="227"/>
      <c r="I75" s="227"/>
      <c r="J75" s="227"/>
      <c r="K75" s="232"/>
      <c r="L75" s="210"/>
      <c r="P75" s="191"/>
    </row>
    <row r="76" spans="1:16" s="11" customFormat="1" ht="37.5">
      <c r="A76" s="81">
        <f>A74+1</f>
        <v>42</v>
      </c>
      <c r="B76" t="s">
        <v>446</v>
      </c>
      <c r="C76"/>
      <c r="D76" t="s">
        <v>430</v>
      </c>
      <c r="E76" s="219" t="s">
        <v>525</v>
      </c>
      <c r="F76" s="194" t="s">
        <v>75</v>
      </c>
      <c r="G76" s="227"/>
      <c r="H76" s="227"/>
      <c r="I76" s="227"/>
      <c r="J76" s="227"/>
      <c r="K76" s="232"/>
      <c r="L76" s="210" t="s">
        <v>606</v>
      </c>
      <c r="P76" s="191"/>
    </row>
    <row r="77" spans="1:16" s="11" customFormat="1">
      <c r="A77" s="81">
        <f t="shared" si="2"/>
        <v>43</v>
      </c>
      <c r="B77" t="s">
        <v>445</v>
      </c>
      <c r="C77"/>
      <c r="D77" t="s">
        <v>443</v>
      </c>
      <c r="E77" s="222"/>
      <c r="F77" s="194" t="s">
        <v>107</v>
      </c>
      <c r="G77" s="227"/>
      <c r="H77" s="227"/>
      <c r="I77" s="227"/>
      <c r="J77" s="227"/>
      <c r="K77" s="232"/>
      <c r="L77" s="210"/>
      <c r="P77" s="191"/>
    </row>
    <row r="78" spans="1:16" s="11" customFormat="1">
      <c r="A78" s="81">
        <f t="shared" si="2"/>
        <v>44</v>
      </c>
      <c r="B78" t="s">
        <v>444</v>
      </c>
      <c r="C78"/>
      <c r="D78" t="s">
        <v>443</v>
      </c>
      <c r="E78" s="222"/>
      <c r="F78" s="194" t="s">
        <v>108</v>
      </c>
      <c r="G78" s="227"/>
      <c r="H78" s="227"/>
      <c r="I78" s="227"/>
      <c r="J78" s="227"/>
      <c r="K78" s="232"/>
      <c r="L78" s="210"/>
      <c r="O78" s="11" t="s">
        <v>631</v>
      </c>
      <c r="P78" s="191"/>
    </row>
    <row r="79" spans="1:16" s="11" customFormat="1" ht="150">
      <c r="A79" s="81">
        <f t="shared" si="2"/>
        <v>45</v>
      </c>
      <c r="B79" t="s">
        <v>442</v>
      </c>
      <c r="C79"/>
      <c r="D79" t="s">
        <v>441</v>
      </c>
      <c r="E79" s="222"/>
      <c r="F79" s="194" t="s">
        <v>109</v>
      </c>
      <c r="G79" s="227"/>
      <c r="H79" s="227"/>
      <c r="I79" s="227"/>
      <c r="J79" s="227"/>
      <c r="K79" s="232"/>
      <c r="L79" s="210"/>
      <c r="O79" s="11" t="s">
        <v>1892</v>
      </c>
      <c r="P79" s="191" t="s">
        <v>1893</v>
      </c>
    </row>
    <row r="80" spans="1:16" s="11" customFormat="1">
      <c r="A80" s="81">
        <f t="shared" si="2"/>
        <v>46</v>
      </c>
      <c r="B80" t="s">
        <v>440</v>
      </c>
      <c r="C80"/>
      <c r="D80" t="s">
        <v>430</v>
      </c>
      <c r="E80" s="222"/>
      <c r="F80" s="194" t="s">
        <v>528</v>
      </c>
      <c r="G80" s="227"/>
      <c r="H80" s="227"/>
      <c r="I80" s="227"/>
      <c r="J80" s="227"/>
      <c r="K80" s="232"/>
      <c r="L80" s="210"/>
      <c r="P80" s="191"/>
    </row>
    <row r="81" spans="1:16" s="11" customFormat="1">
      <c r="A81" s="81">
        <f t="shared" si="2"/>
        <v>47</v>
      </c>
      <c r="B81" t="s">
        <v>439</v>
      </c>
      <c r="C81"/>
      <c r="D81" t="s">
        <v>438</v>
      </c>
      <c r="E81" s="222"/>
      <c r="F81" s="194" t="s">
        <v>105</v>
      </c>
      <c r="G81" s="227"/>
      <c r="H81" s="227"/>
      <c r="I81" s="227"/>
      <c r="J81" s="227"/>
      <c r="K81" s="232"/>
      <c r="L81" s="210"/>
      <c r="P81" s="191"/>
    </row>
    <row r="82" spans="1:16" s="11" customFormat="1">
      <c r="A82" s="81">
        <f t="shared" si="2"/>
        <v>48</v>
      </c>
      <c r="B82" s="195" t="s">
        <v>437</v>
      </c>
      <c r="C82" s="195"/>
      <c r="D82" t="s">
        <v>436</v>
      </c>
      <c r="E82" s="222"/>
      <c r="F82" s="194" t="s">
        <v>115</v>
      </c>
      <c r="G82" s="227"/>
      <c r="H82" s="227"/>
      <c r="I82" s="227"/>
      <c r="J82" s="227"/>
      <c r="K82" s="232"/>
      <c r="L82" s="210"/>
      <c r="O82" s="11" t="s">
        <v>632</v>
      </c>
      <c r="P82" s="191" t="s">
        <v>648</v>
      </c>
    </row>
    <row r="83" spans="1:16" s="11" customFormat="1">
      <c r="A83" s="81">
        <f t="shared" si="2"/>
        <v>49</v>
      </c>
      <c r="B83" s="195" t="s">
        <v>435</v>
      </c>
      <c r="C83" s="195"/>
      <c r="D83" t="s">
        <v>431</v>
      </c>
      <c r="E83" s="222"/>
      <c r="F83" s="227"/>
      <c r="G83" s="227"/>
      <c r="H83" s="227"/>
      <c r="I83" s="227"/>
      <c r="J83" s="227"/>
      <c r="K83" s="232"/>
      <c r="L83" s="210"/>
      <c r="O83" s="11" t="s">
        <v>636</v>
      </c>
      <c r="P83" s="191" t="s">
        <v>636</v>
      </c>
    </row>
    <row r="84" spans="1:16" s="11" customFormat="1">
      <c r="A84" s="81">
        <f t="shared" si="2"/>
        <v>50</v>
      </c>
      <c r="B84" s="195" t="s">
        <v>434</v>
      </c>
      <c r="C84" s="195"/>
      <c r="D84" t="s">
        <v>433</v>
      </c>
      <c r="E84" s="222"/>
      <c r="F84" s="227"/>
      <c r="G84" s="227"/>
      <c r="H84" s="227"/>
      <c r="I84" s="227"/>
      <c r="J84" s="227"/>
      <c r="K84" s="232"/>
      <c r="L84" s="210"/>
      <c r="O84" s="11" t="s">
        <v>635</v>
      </c>
      <c r="P84" s="191" t="s">
        <v>635</v>
      </c>
    </row>
    <row r="85" spans="1:16">
      <c r="A85" s="81">
        <f>A84+1</f>
        <v>51</v>
      </c>
      <c r="B85" t="s">
        <v>1146</v>
      </c>
      <c r="D85" t="s">
        <v>433</v>
      </c>
      <c r="E85" s="222"/>
      <c r="F85" s="227"/>
      <c r="G85" s="227"/>
      <c r="H85" s="227"/>
      <c r="I85" s="227"/>
      <c r="J85" s="227"/>
      <c r="K85" s="232"/>
      <c r="L85" s="210"/>
      <c r="P85" s="191"/>
    </row>
    <row r="86" spans="1:16" s="11" customFormat="1">
      <c r="A86" s="81"/>
      <c r="B86" s="195"/>
      <c r="C86" s="196" t="s">
        <v>526</v>
      </c>
      <c r="D86"/>
      <c r="E86" s="222"/>
      <c r="F86" s="197" t="s">
        <v>527</v>
      </c>
      <c r="G86" s="227"/>
      <c r="H86" s="227"/>
      <c r="I86" s="227"/>
      <c r="J86" s="227"/>
      <c r="K86" s="232"/>
      <c r="L86" s="210"/>
      <c r="P86" s="191"/>
    </row>
    <row r="87" spans="1:16" s="11" customFormat="1" ht="37.5">
      <c r="A87" s="81">
        <f>A85+1</f>
        <v>52</v>
      </c>
      <c r="B87" s="195" t="s">
        <v>633</v>
      </c>
      <c r="C87" s="195"/>
      <c r="D87" t="s">
        <v>436</v>
      </c>
      <c r="E87" s="222"/>
      <c r="F87" s="194" t="s">
        <v>115</v>
      </c>
      <c r="G87" s="227"/>
      <c r="H87" s="227"/>
      <c r="I87" s="227"/>
      <c r="J87" s="227"/>
      <c r="K87" s="232"/>
      <c r="L87" s="210"/>
      <c r="O87" s="11" t="s">
        <v>634</v>
      </c>
      <c r="P87" s="191" t="s">
        <v>649</v>
      </c>
    </row>
    <row r="88" spans="1:16">
      <c r="A88" s="81">
        <f t="shared" si="2"/>
        <v>53</v>
      </c>
      <c r="B88" t="s">
        <v>1137</v>
      </c>
      <c r="D88" t="s">
        <v>432</v>
      </c>
      <c r="E88" s="222"/>
      <c r="F88" s="227"/>
      <c r="G88" s="227"/>
      <c r="H88" s="227"/>
      <c r="I88" s="227"/>
      <c r="J88" s="227"/>
      <c r="K88" s="232"/>
      <c r="L88" s="210" t="s">
        <v>621</v>
      </c>
      <c r="M88" s="11" t="s">
        <v>622</v>
      </c>
      <c r="N88" s="11" t="s">
        <v>622</v>
      </c>
      <c r="O88" s="11" t="s">
        <v>637</v>
      </c>
      <c r="P88" s="191" t="s">
        <v>1887</v>
      </c>
    </row>
    <row r="89" spans="1:16">
      <c r="A89" s="81">
        <f t="shared" si="2"/>
        <v>54</v>
      </c>
      <c r="B89" t="s">
        <v>1138</v>
      </c>
      <c r="D89" t="s">
        <v>432</v>
      </c>
      <c r="E89" s="222"/>
      <c r="F89" s="227"/>
      <c r="G89" s="227"/>
      <c r="H89" s="227"/>
      <c r="I89" s="227"/>
      <c r="J89" s="227"/>
      <c r="K89" s="232"/>
      <c r="L89" s="211" t="s">
        <v>1882</v>
      </c>
      <c r="M89" s="198" t="s">
        <v>1883</v>
      </c>
      <c r="N89" s="198" t="s">
        <v>1884</v>
      </c>
      <c r="O89" s="11" t="s">
        <v>1885</v>
      </c>
      <c r="P89" s="199" t="s">
        <v>1886</v>
      </c>
    </row>
    <row r="90" spans="1:16" s="11" customFormat="1" ht="19.5" thickBot="1">
      <c r="A90" s="82">
        <f t="shared" si="2"/>
        <v>55</v>
      </c>
      <c r="B90" s="83" t="s">
        <v>1156</v>
      </c>
      <c r="C90" s="83"/>
      <c r="D90" s="83" t="s">
        <v>429</v>
      </c>
      <c r="E90" s="225"/>
      <c r="F90" s="230"/>
      <c r="G90" s="230"/>
      <c r="H90" s="230"/>
      <c r="I90" s="230"/>
      <c r="J90" s="230"/>
      <c r="K90" s="235"/>
      <c r="L90" s="212" t="s">
        <v>707</v>
      </c>
      <c r="M90" s="200" t="s">
        <v>706</v>
      </c>
      <c r="N90" s="200" t="s">
        <v>706</v>
      </c>
      <c r="O90" s="200" t="s">
        <v>1889</v>
      </c>
      <c r="P90" s="201" t="s">
        <v>1888</v>
      </c>
    </row>
  </sheetData>
  <autoFilter ref="A3:L90" xr:uid="{613CB6B2-A74B-4A60-B490-60B4F5F9867B}"/>
  <phoneticPr fontId="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705AC-59E2-4283-A41F-5C2019D5F106}">
  <dimension ref="A1"/>
  <sheetViews>
    <sheetView workbookViewId="0"/>
  </sheetViews>
  <sheetFormatPr defaultRowHeight="18.75"/>
  <sheetData/>
  <phoneticPr fontId="1"/>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0ABC5-F77F-4934-9485-309468EAC2E6}">
  <sheetPr codeName="Sheet46"/>
  <dimension ref="A1:H11"/>
  <sheetViews>
    <sheetView workbookViewId="0">
      <pane xSplit="2" ySplit="2" topLeftCell="C3" activePane="bottomRight" state="frozen"/>
      <selection pane="topRight" activeCell="C1" sqref="C1"/>
      <selection pane="bottomLeft" activeCell="A3" sqref="A3"/>
      <selection pane="bottomRight"/>
    </sheetView>
  </sheetViews>
  <sheetFormatPr defaultRowHeight="18.75"/>
  <cols>
    <col min="1" max="1" width="22.875" bestFit="1" customWidth="1"/>
    <col min="2" max="2" width="16.125" bestFit="1" customWidth="1"/>
    <col min="3" max="3" width="11.125" bestFit="1" customWidth="1"/>
    <col min="4" max="4" width="10.125" bestFit="1" customWidth="1"/>
    <col min="5" max="5" width="18.125" customWidth="1"/>
    <col min="6" max="6" width="39.125" customWidth="1"/>
    <col min="7" max="7" width="46.5" customWidth="1"/>
    <col min="8" max="8" width="32.625" customWidth="1"/>
  </cols>
  <sheetData>
    <row r="1" spans="1:8">
      <c r="A1" s="6" t="s">
        <v>184</v>
      </c>
      <c r="D1" s="7"/>
    </row>
    <row r="2" spans="1:8">
      <c r="A2" s="2" t="s">
        <v>0</v>
      </c>
      <c r="B2" s="2" t="s">
        <v>1</v>
      </c>
      <c r="C2" s="2" t="s">
        <v>2</v>
      </c>
      <c r="D2" s="2" t="s">
        <v>8</v>
      </c>
      <c r="E2" s="5" t="s">
        <v>151</v>
      </c>
      <c r="F2" s="5" t="s">
        <v>63</v>
      </c>
      <c r="G2" s="5" t="s">
        <v>145</v>
      </c>
      <c r="H2" s="5" t="s">
        <v>85</v>
      </c>
    </row>
    <row r="3" spans="1:8" ht="56.25">
      <c r="A3" s="1" t="s">
        <v>178</v>
      </c>
      <c r="B3" s="1" t="s">
        <v>4</v>
      </c>
      <c r="C3" s="1">
        <v>50</v>
      </c>
      <c r="D3" s="1" t="s">
        <v>9</v>
      </c>
      <c r="E3" s="1"/>
      <c r="F3" s="1"/>
      <c r="G3" s="4" t="s">
        <v>292</v>
      </c>
      <c r="H3" s="4"/>
    </row>
    <row r="4" spans="1:8" ht="56.25">
      <c r="A4" s="1" t="s">
        <v>179</v>
      </c>
      <c r="B4" s="1" t="s">
        <v>3</v>
      </c>
      <c r="C4" s="1"/>
      <c r="D4" s="1" t="s">
        <v>9</v>
      </c>
      <c r="E4" s="1"/>
      <c r="F4" s="1"/>
      <c r="G4" s="4" t="s">
        <v>292</v>
      </c>
      <c r="H4" s="4"/>
    </row>
    <row r="5" spans="1:8" ht="56.25">
      <c r="A5" s="1" t="s">
        <v>180</v>
      </c>
      <c r="B5" s="1" t="s">
        <v>4</v>
      </c>
      <c r="C5" s="1">
        <v>20</v>
      </c>
      <c r="D5" s="1" t="s">
        <v>9</v>
      </c>
      <c r="E5" s="1"/>
      <c r="F5" s="1"/>
      <c r="G5" s="4" t="s">
        <v>292</v>
      </c>
      <c r="H5" s="4"/>
    </row>
    <row r="6" spans="1:8" ht="56.25">
      <c r="A6" s="1" t="s">
        <v>181</v>
      </c>
      <c r="B6" s="1" t="s">
        <v>4</v>
      </c>
      <c r="C6" s="1">
        <v>255</v>
      </c>
      <c r="D6" s="1" t="s">
        <v>10</v>
      </c>
      <c r="E6" s="1"/>
      <c r="F6" s="4" t="s">
        <v>186</v>
      </c>
      <c r="G6" s="4" t="s">
        <v>292</v>
      </c>
      <c r="H6" s="4"/>
    </row>
    <row r="7" spans="1:8" ht="56.25">
      <c r="A7" s="1" t="s">
        <v>182</v>
      </c>
      <c r="B7" s="1" t="s">
        <v>3</v>
      </c>
      <c r="C7" s="1"/>
      <c r="D7" s="1" t="s">
        <v>9</v>
      </c>
      <c r="E7" s="1"/>
      <c r="F7" s="1"/>
      <c r="G7" s="4" t="s">
        <v>292</v>
      </c>
      <c r="H7" s="4"/>
    </row>
    <row r="8" spans="1:8" ht="56.25">
      <c r="A8" s="1" t="s">
        <v>183</v>
      </c>
      <c r="B8" s="1" t="s">
        <v>4</v>
      </c>
      <c r="C8" s="1">
        <v>20</v>
      </c>
      <c r="D8" s="1" t="s">
        <v>9</v>
      </c>
      <c r="E8" s="1"/>
      <c r="F8" s="1"/>
      <c r="G8" s="4" t="s">
        <v>292</v>
      </c>
      <c r="H8" s="4"/>
    </row>
    <row r="9" spans="1:8" ht="56.25">
      <c r="A9" s="1" t="s">
        <v>118</v>
      </c>
      <c r="B9" s="1" t="s">
        <v>5</v>
      </c>
      <c r="C9" s="1"/>
      <c r="D9" s="1" t="s">
        <v>9</v>
      </c>
      <c r="E9" s="1" t="s">
        <v>150</v>
      </c>
      <c r="F9" s="1"/>
      <c r="G9" s="4" t="s">
        <v>292</v>
      </c>
      <c r="H9" s="4"/>
    </row>
    <row r="10" spans="1:8" ht="56.25">
      <c r="A10" s="1" t="s">
        <v>119</v>
      </c>
      <c r="B10" s="1" t="s">
        <v>5</v>
      </c>
      <c r="C10" s="1"/>
      <c r="D10" s="1" t="s">
        <v>9</v>
      </c>
      <c r="E10" s="1" t="s">
        <v>150</v>
      </c>
      <c r="F10" s="1"/>
      <c r="G10" s="4" t="s">
        <v>292</v>
      </c>
      <c r="H10" s="4"/>
    </row>
    <row r="11" spans="1:8" ht="56.25">
      <c r="A11" s="1" t="s">
        <v>120</v>
      </c>
      <c r="B11" s="1" t="s">
        <v>4</v>
      </c>
      <c r="C11" s="1">
        <v>1</v>
      </c>
      <c r="D11" s="1" t="s">
        <v>10</v>
      </c>
      <c r="E11" s="1"/>
      <c r="F11" s="1"/>
      <c r="G11" s="4" t="s">
        <v>292</v>
      </c>
      <c r="H11" s="4"/>
    </row>
  </sheetData>
  <phoneticPr fontId="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A851B-E17D-4B5D-85A2-8A0886F64CEB}">
  <sheetPr codeName="Sheet18"/>
  <dimension ref="A1:G12"/>
  <sheetViews>
    <sheetView workbookViewId="0"/>
  </sheetViews>
  <sheetFormatPr defaultRowHeight="18.75"/>
  <cols>
    <col min="1" max="1" width="21.625" customWidth="1"/>
    <col min="2" max="2" width="16.125" bestFit="1" customWidth="1"/>
    <col min="3" max="3" width="11.125" bestFit="1" customWidth="1"/>
    <col min="4" max="4" width="10.125" bestFit="1" customWidth="1"/>
    <col min="5" max="5" width="10.5" customWidth="1"/>
    <col min="6" max="6" width="15.875" customWidth="1"/>
    <col min="7" max="7" width="21.625" customWidth="1"/>
  </cols>
  <sheetData>
    <row r="1" spans="1:7">
      <c r="A1" s="6" t="s">
        <v>175</v>
      </c>
      <c r="D1" s="7"/>
    </row>
    <row r="2" spans="1:7">
      <c r="A2" s="2" t="s">
        <v>0</v>
      </c>
      <c r="B2" s="2" t="s">
        <v>1</v>
      </c>
      <c r="C2" s="2" t="s">
        <v>2</v>
      </c>
      <c r="D2" s="2" t="s">
        <v>8</v>
      </c>
      <c r="E2" s="5" t="s">
        <v>151</v>
      </c>
      <c r="F2" s="5" t="s">
        <v>63</v>
      </c>
      <c r="G2" s="5" t="s">
        <v>145</v>
      </c>
    </row>
    <row r="3" spans="1:7">
      <c r="A3" s="1" t="s">
        <v>168</v>
      </c>
      <c r="B3" s="1" t="s">
        <v>3</v>
      </c>
      <c r="C3" s="1"/>
      <c r="D3" s="1" t="s">
        <v>9</v>
      </c>
      <c r="E3" s="1"/>
      <c r="F3" s="1"/>
      <c r="G3" s="1"/>
    </row>
    <row r="4" spans="1:7">
      <c r="A4" s="1" t="s">
        <v>169</v>
      </c>
      <c r="B4" s="1" t="s">
        <v>4</v>
      </c>
      <c r="C4" s="1">
        <v>255</v>
      </c>
      <c r="D4" s="1" t="s">
        <v>9</v>
      </c>
      <c r="E4" s="1"/>
      <c r="F4" s="1"/>
      <c r="G4" s="1"/>
    </row>
    <row r="5" spans="1:7">
      <c r="A5" s="1" t="s">
        <v>170</v>
      </c>
      <c r="B5" s="1" t="s">
        <v>4</v>
      </c>
      <c r="C5" s="1">
        <v>20</v>
      </c>
      <c r="D5" s="1" t="s">
        <v>9</v>
      </c>
      <c r="E5" s="1"/>
      <c r="F5" s="1"/>
      <c r="G5" s="1"/>
    </row>
    <row r="6" spans="1:7" ht="56.25">
      <c r="A6" s="1" t="s">
        <v>171</v>
      </c>
      <c r="B6" s="1" t="s">
        <v>4</v>
      </c>
      <c r="C6" s="1">
        <v>20</v>
      </c>
      <c r="D6" s="1" t="s">
        <v>9</v>
      </c>
      <c r="E6" s="1"/>
      <c r="F6" s="1"/>
      <c r="G6" s="4" t="s">
        <v>176</v>
      </c>
    </row>
    <row r="7" spans="1:7">
      <c r="A7" s="1" t="s">
        <v>172</v>
      </c>
      <c r="B7" s="1" t="s">
        <v>4</v>
      </c>
      <c r="C7" s="1">
        <v>20</v>
      </c>
      <c r="D7" s="1" t="s">
        <v>9</v>
      </c>
      <c r="E7" s="1"/>
      <c r="F7" s="1"/>
      <c r="G7" s="1"/>
    </row>
    <row r="8" spans="1:7">
      <c r="A8" s="1" t="s">
        <v>173</v>
      </c>
      <c r="B8" s="1" t="s">
        <v>4</v>
      </c>
      <c r="C8" s="1">
        <v>1</v>
      </c>
      <c r="D8" s="1" t="s">
        <v>10</v>
      </c>
      <c r="E8" s="1" t="s">
        <v>150</v>
      </c>
      <c r="F8" s="1"/>
      <c r="G8" s="1"/>
    </row>
    <row r="9" spans="1:7">
      <c r="A9" s="1" t="s">
        <v>174</v>
      </c>
      <c r="B9" s="1" t="s">
        <v>4</v>
      </c>
      <c r="C9" s="1">
        <v>50</v>
      </c>
      <c r="D9" s="1" t="s">
        <v>9</v>
      </c>
      <c r="E9" s="1"/>
      <c r="F9" s="1"/>
      <c r="G9" s="1"/>
    </row>
    <row r="10" spans="1:7">
      <c r="A10" s="1" t="s">
        <v>118</v>
      </c>
      <c r="B10" s="1" t="s">
        <v>5</v>
      </c>
      <c r="C10" s="1"/>
      <c r="D10" s="1" t="s">
        <v>9</v>
      </c>
      <c r="E10" s="1"/>
      <c r="F10" s="1"/>
      <c r="G10" s="1"/>
    </row>
    <row r="11" spans="1:7">
      <c r="A11" s="1" t="s">
        <v>119</v>
      </c>
      <c r="B11" s="1" t="s">
        <v>5</v>
      </c>
      <c r="C11" s="1"/>
      <c r="D11" s="1" t="s">
        <v>9</v>
      </c>
      <c r="E11" s="1"/>
      <c r="F11" s="1"/>
      <c r="G11" s="1"/>
    </row>
    <row r="12" spans="1:7">
      <c r="A12" s="1" t="s">
        <v>120</v>
      </c>
      <c r="B12" s="1" t="s">
        <v>4</v>
      </c>
      <c r="C12" s="1">
        <v>1</v>
      </c>
      <c r="D12" s="1" t="s">
        <v>10</v>
      </c>
      <c r="E12" s="1"/>
      <c r="F12" s="1"/>
      <c r="G12" s="1"/>
    </row>
  </sheetData>
  <phoneticPr fontId="1"/>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9FD2C-165B-49A7-A90C-8991BC1CD129}">
  <sheetPr codeName="Sheet3"/>
  <dimension ref="A1"/>
  <sheetViews>
    <sheetView workbookViewId="0"/>
  </sheetViews>
  <sheetFormatPr defaultRowHeight="18.75"/>
  <sheetData/>
  <phoneticPr fontId="1"/>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A7675-247B-4578-AB35-772FF56B073B}">
  <dimension ref="A1:D23"/>
  <sheetViews>
    <sheetView workbookViewId="0"/>
  </sheetViews>
  <sheetFormatPr defaultColWidth="8.625" defaultRowHeight="14.25"/>
  <cols>
    <col min="1" max="1" width="8.625" style="23"/>
    <col min="2" max="2" width="42.125" style="23" customWidth="1"/>
    <col min="3" max="3" width="27.125" style="23" customWidth="1"/>
    <col min="4" max="4" width="20.625" style="23" customWidth="1"/>
    <col min="5" max="16384" width="8.625" style="23"/>
  </cols>
  <sheetData>
    <row r="1" spans="1:4" ht="15" thickBot="1">
      <c r="A1" s="22" t="s">
        <v>226</v>
      </c>
      <c r="B1" s="22" t="s">
        <v>227</v>
      </c>
      <c r="C1" s="22" t="s">
        <v>228</v>
      </c>
      <c r="D1" s="22" t="s">
        <v>229</v>
      </c>
    </row>
    <row r="2" spans="1:4" ht="15" thickBot="1">
      <c r="A2" s="24">
        <v>32890</v>
      </c>
      <c r="B2" s="25" t="s">
        <v>230</v>
      </c>
      <c r="C2" s="26" t="s">
        <v>231</v>
      </c>
      <c r="D2" s="24" t="s">
        <v>232</v>
      </c>
    </row>
    <row r="3" spans="1:4" ht="15" thickBot="1">
      <c r="A3" s="24">
        <v>32891</v>
      </c>
      <c r="B3" s="25" t="s">
        <v>233</v>
      </c>
      <c r="C3" s="26" t="s">
        <v>234</v>
      </c>
      <c r="D3" s="24" t="s">
        <v>232</v>
      </c>
    </row>
    <row r="4" spans="1:4" ht="15" thickBot="1">
      <c r="A4" s="24">
        <v>32892</v>
      </c>
      <c r="B4" s="25" t="s">
        <v>235</v>
      </c>
      <c r="C4" s="26" t="s">
        <v>236</v>
      </c>
      <c r="D4" s="24" t="s">
        <v>232</v>
      </c>
    </row>
    <row r="5" spans="1:4" ht="15" thickBot="1">
      <c r="A5" s="24">
        <v>32893</v>
      </c>
      <c r="B5" s="25" t="s">
        <v>237</v>
      </c>
      <c r="C5" s="26" t="s">
        <v>238</v>
      </c>
      <c r="D5" s="24" t="s">
        <v>232</v>
      </c>
    </row>
    <row r="6" spans="1:4" ht="15" thickBot="1">
      <c r="A6" s="24">
        <v>32894</v>
      </c>
      <c r="B6" s="25" t="s">
        <v>239</v>
      </c>
      <c r="C6" s="26" t="s">
        <v>240</v>
      </c>
      <c r="D6" s="24" t="s">
        <v>232</v>
      </c>
    </row>
    <row r="7" spans="1:4" ht="15" thickBot="1">
      <c r="A7" s="24">
        <v>32895</v>
      </c>
      <c r="B7" s="25" t="s">
        <v>241</v>
      </c>
      <c r="C7" s="26" t="s">
        <v>242</v>
      </c>
      <c r="D7" s="24" t="s">
        <v>232</v>
      </c>
    </row>
    <row r="8" spans="1:4" ht="15" thickBot="1">
      <c r="A8" s="24">
        <v>32896</v>
      </c>
      <c r="B8" s="25" t="s">
        <v>243</v>
      </c>
      <c r="C8" s="26" t="s">
        <v>244</v>
      </c>
      <c r="D8" s="24" t="s">
        <v>232</v>
      </c>
    </row>
    <row r="9" spans="1:4" ht="15" thickBot="1">
      <c r="A9" s="24">
        <v>32897</v>
      </c>
      <c r="B9" s="25" t="s">
        <v>245</v>
      </c>
      <c r="C9" s="26" t="s">
        <v>246</v>
      </c>
      <c r="D9" s="24" t="s">
        <v>232</v>
      </c>
    </row>
    <row r="10" spans="1:4" ht="15" thickBot="1">
      <c r="A10" s="24">
        <v>32898</v>
      </c>
      <c r="B10" s="25" t="s">
        <v>247</v>
      </c>
      <c r="C10" s="26" t="s">
        <v>248</v>
      </c>
      <c r="D10" s="24" t="s">
        <v>232</v>
      </c>
    </row>
    <row r="11" spans="1:4" ht="15" thickBot="1">
      <c r="A11" s="24">
        <v>32899</v>
      </c>
      <c r="B11" s="25" t="s">
        <v>249</v>
      </c>
      <c r="C11" s="26" t="s">
        <v>250</v>
      </c>
      <c r="D11" s="24" t="s">
        <v>232</v>
      </c>
    </row>
    <row r="12" spans="1:4" ht="15" thickBot="1">
      <c r="A12" s="24">
        <v>32900</v>
      </c>
      <c r="B12" s="25" t="s">
        <v>251</v>
      </c>
      <c r="C12" s="26" t="s">
        <v>252</v>
      </c>
      <c r="D12" s="24" t="s">
        <v>232</v>
      </c>
    </row>
    <row r="13" spans="1:4" ht="15" thickBot="1">
      <c r="A13" s="24">
        <v>32901</v>
      </c>
      <c r="B13" s="25" t="s">
        <v>253</v>
      </c>
      <c r="C13" s="26" t="s">
        <v>254</v>
      </c>
      <c r="D13" s="24" t="s">
        <v>232</v>
      </c>
    </row>
    <row r="14" spans="1:4" ht="15" thickBot="1">
      <c r="A14" s="24">
        <v>32902</v>
      </c>
      <c r="B14" s="25" t="s">
        <v>255</v>
      </c>
      <c r="C14" s="26" t="s">
        <v>256</v>
      </c>
      <c r="D14" s="24" t="s">
        <v>232</v>
      </c>
    </row>
    <row r="15" spans="1:4" ht="15" thickBot="1">
      <c r="A15" s="24">
        <v>32903</v>
      </c>
      <c r="B15" s="25" t="s">
        <v>257</v>
      </c>
      <c r="C15" s="26" t="s">
        <v>258</v>
      </c>
      <c r="D15" s="24" t="s">
        <v>232</v>
      </c>
    </row>
    <row r="16" spans="1:4" ht="15" thickBot="1">
      <c r="A16" s="24">
        <v>32904</v>
      </c>
      <c r="B16" s="25" t="s">
        <v>259</v>
      </c>
      <c r="C16" s="26" t="s">
        <v>260</v>
      </c>
      <c r="D16" s="24" t="s">
        <v>232</v>
      </c>
    </row>
    <row r="17" spans="1:4" ht="15" thickBot="1">
      <c r="A17" s="24">
        <v>32905</v>
      </c>
      <c r="B17" s="25" t="s">
        <v>261</v>
      </c>
      <c r="C17" s="26" t="s">
        <v>262</v>
      </c>
      <c r="D17" s="24" t="s">
        <v>232</v>
      </c>
    </row>
    <row r="18" spans="1:4" ht="15" thickBot="1">
      <c r="A18" s="24">
        <v>32906</v>
      </c>
      <c r="B18" s="25" t="s">
        <v>263</v>
      </c>
      <c r="C18" s="26" t="s">
        <v>264</v>
      </c>
      <c r="D18" s="24" t="s">
        <v>232</v>
      </c>
    </row>
    <row r="19" spans="1:4" ht="15" thickBot="1">
      <c r="A19" s="24">
        <v>32907</v>
      </c>
      <c r="B19" s="25" t="s">
        <v>265</v>
      </c>
      <c r="C19" s="26" t="s">
        <v>266</v>
      </c>
      <c r="D19" s="24" t="s">
        <v>232</v>
      </c>
    </row>
    <row r="20" spans="1:4" ht="15" thickBot="1">
      <c r="A20" s="24">
        <v>32908</v>
      </c>
      <c r="B20" s="25" t="s">
        <v>267</v>
      </c>
      <c r="C20" s="26" t="s">
        <v>268</v>
      </c>
      <c r="D20" s="24" t="s">
        <v>232</v>
      </c>
    </row>
    <row r="21" spans="1:4" ht="15" thickBot="1">
      <c r="A21" s="24">
        <v>32909</v>
      </c>
      <c r="B21" s="25" t="s">
        <v>269</v>
      </c>
      <c r="C21" s="26" t="s">
        <v>270</v>
      </c>
      <c r="D21" s="24" t="s">
        <v>232</v>
      </c>
    </row>
    <row r="22" spans="1:4" ht="15" thickBot="1">
      <c r="A22" s="24">
        <v>32910</v>
      </c>
      <c r="B22" s="25" t="s">
        <v>271</v>
      </c>
      <c r="C22" s="26" t="s">
        <v>272</v>
      </c>
      <c r="D22" s="24" t="s">
        <v>232</v>
      </c>
    </row>
    <row r="23" spans="1:4" ht="15" thickBot="1">
      <c r="A23" s="27">
        <v>32911</v>
      </c>
      <c r="B23" s="28" t="s">
        <v>273</v>
      </c>
      <c r="C23" s="26" t="s">
        <v>274</v>
      </c>
      <c r="D23" s="27" t="s">
        <v>232</v>
      </c>
    </row>
  </sheetData>
  <phoneticPr fontId="1"/>
  <hyperlinks>
    <hyperlink ref="B2" r:id="rId1" display="https://athena.ohdsi.org/search-terms/terms/32890" xr:uid="{F09F2C70-0651-4828-97DC-BE69DF586C9D}"/>
    <hyperlink ref="B3" r:id="rId2" display="https://athena.ohdsi.org/search-terms/terms/32891" xr:uid="{0EBE85CC-E3E0-4EB9-8491-605EC4D6BE60}"/>
    <hyperlink ref="B4" r:id="rId3" display="https://athena.ohdsi.org/search-terms/terms/32892" xr:uid="{8E9597D4-0FBA-4AA1-9A54-4041D8EC53B4}"/>
    <hyperlink ref="B5" r:id="rId4" display="https://athena.ohdsi.org/search-terms/terms/32893" xr:uid="{440EC369-5C54-4FA1-935F-114013F8BAB4}"/>
    <hyperlink ref="B6" r:id="rId5" display="https://athena.ohdsi.org/search-terms/terms/32894" xr:uid="{2E7812E8-E61C-4720-99FB-CBA422C448BA}"/>
    <hyperlink ref="B7" r:id="rId6" display="https://athena.ohdsi.org/search-terms/terms/32895" xr:uid="{90D3CFE5-86CC-41B8-AE46-A85B9DDF1671}"/>
    <hyperlink ref="B8" r:id="rId7" display="https://athena.ohdsi.org/search-terms/terms/32896" xr:uid="{0A7BED01-8988-4F40-BDAE-04AB8C56A3CF}"/>
    <hyperlink ref="B9" r:id="rId8" display="https://athena.ohdsi.org/search-terms/terms/32897" xr:uid="{525A6359-0148-47B1-853D-CA8FB907CC96}"/>
    <hyperlink ref="B10" r:id="rId9" display="https://athena.ohdsi.org/search-terms/terms/32898" xr:uid="{6317C204-0D91-4891-A283-CE87026B4CCC}"/>
    <hyperlink ref="B11" r:id="rId10" display="https://athena.ohdsi.org/search-terms/terms/32899" xr:uid="{A7048046-88CF-4C64-9170-BD1725459571}"/>
    <hyperlink ref="B12" r:id="rId11" display="https://athena.ohdsi.org/search-terms/terms/32900" xr:uid="{83AFDDFD-BDDE-41B4-98B3-8D4C5973E922}"/>
    <hyperlink ref="B13" r:id="rId12" display="https://athena.ohdsi.org/search-terms/terms/32901" xr:uid="{D4F4654A-3474-45BE-AA46-44CEF26FB090}"/>
    <hyperlink ref="B14" r:id="rId13" display="https://athena.ohdsi.org/search-terms/terms/32902" xr:uid="{B073C8BC-BB64-4395-BA2A-9C8DFF4D0940}"/>
    <hyperlink ref="B15" r:id="rId14" display="https://athena.ohdsi.org/search-terms/terms/32903" xr:uid="{98B4C1DD-289F-416A-AF58-16FA03A3960F}"/>
    <hyperlink ref="B16" r:id="rId15" display="https://athena.ohdsi.org/search-terms/terms/32904" xr:uid="{7256FC97-C0DB-4EC7-8D7D-EA87ABAC8895}"/>
    <hyperlink ref="B17" r:id="rId16" display="https://athena.ohdsi.org/search-terms/terms/32905" xr:uid="{1B1C46A9-E582-4DF6-AD38-57A94D7E0918}"/>
    <hyperlink ref="B18" r:id="rId17" display="https://athena.ohdsi.org/search-terms/terms/32906" xr:uid="{EEB8D621-AEA3-4C65-B5DE-32C8980BE0C6}"/>
    <hyperlink ref="B19" r:id="rId18" display="https://athena.ohdsi.org/search-terms/terms/32907" xr:uid="{20A22441-DF23-4BAF-8148-74B9D1325F7B}"/>
    <hyperlink ref="B20" r:id="rId19" display="https://athena.ohdsi.org/search-terms/terms/32908" xr:uid="{E35F6377-B777-4DBC-9CFC-5A2C0DF774EC}"/>
    <hyperlink ref="B21" r:id="rId20" display="https://athena.ohdsi.org/search-terms/terms/32909" xr:uid="{9956E2AC-129C-49B5-9A12-0E102AD0A576}"/>
    <hyperlink ref="B22" r:id="rId21" display="https://athena.ohdsi.org/search-terms/terms/32910" xr:uid="{153DB07C-2794-45A0-BBFF-7F5C5CB4708C}"/>
    <hyperlink ref="B23" r:id="rId22" display="https://athena.ohdsi.org/search-terms/terms/32911" xr:uid="{60574471-E4EA-4F9C-BF5D-231C90EFDFD1}"/>
  </hyperlinks>
  <pageMargins left="0.7" right="0.7" top="0.75" bottom="0.75" header="0.3" footer="0.3"/>
  <pageSetup paperSize="9" orientation="portrait" r:id="rId2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e564203-4f9d-456e-bbd5-bcde15d25ed1">
      <Terms xmlns="http://schemas.microsoft.com/office/infopath/2007/PartnerControls"/>
    </lcf76f155ced4ddcb4097134ff3c332f>
    <TaxCatchAll xmlns="e8430fe7-0ffd-46be-bd3e-d4cd89ef035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4D4EEBA958DF94FB35A05276C49848C" ma:contentTypeVersion="11" ma:contentTypeDescription="Create a new document." ma:contentTypeScope="" ma:versionID="919631fdb156953ffaf73160d86c6449">
  <xsd:schema xmlns:xsd="http://www.w3.org/2001/XMLSchema" xmlns:xs="http://www.w3.org/2001/XMLSchema" xmlns:p="http://schemas.microsoft.com/office/2006/metadata/properties" xmlns:ns2="ce564203-4f9d-456e-bbd5-bcde15d25ed1" xmlns:ns3="e8430fe7-0ffd-46be-bd3e-d4cd89ef0354" targetNamespace="http://schemas.microsoft.com/office/2006/metadata/properties" ma:root="true" ma:fieldsID="0062c49063a7a513647d622dfec8e236" ns2:_="" ns3:_="">
    <xsd:import namespace="ce564203-4f9d-456e-bbd5-bcde15d25ed1"/>
    <xsd:import namespace="e8430fe7-0ffd-46be-bd3e-d4cd89ef035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564203-4f9d-456e-bbd5-bcde15d25e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68784c8-5187-4d12-af89-ac967a81122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8430fe7-0ffd-46be-bd3e-d4cd89ef035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97144df-8700-41c8-b320-471b3d5adba4}" ma:internalName="TaxCatchAll" ma:showField="CatchAllData" ma:web="e8430fe7-0ffd-46be-bd3e-d4cd89ef035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167990E-1B2F-49C9-9328-862242A48108}">
  <ds:schemaRefs>
    <ds:schemaRef ds:uri="http://schemas.microsoft.com/office/2006/metadata/properties"/>
    <ds:schemaRef ds:uri="http://schemas.microsoft.com/office/infopath/2007/PartnerControls"/>
    <ds:schemaRef ds:uri="ce564203-4f9d-456e-bbd5-bcde15d25ed1"/>
    <ds:schemaRef ds:uri="e8430fe7-0ffd-46be-bd3e-d4cd89ef0354"/>
  </ds:schemaRefs>
</ds:datastoreItem>
</file>

<file path=customXml/itemProps2.xml><?xml version="1.0" encoding="utf-8"?>
<ds:datastoreItem xmlns:ds="http://schemas.openxmlformats.org/officeDocument/2006/customXml" ds:itemID="{D9412EB0-57E0-448B-953A-775EAA6865E4}">
  <ds:schemaRefs>
    <ds:schemaRef ds:uri="http://schemas.microsoft.com/sharepoint/v3/contenttype/forms"/>
  </ds:schemaRefs>
</ds:datastoreItem>
</file>

<file path=customXml/itemProps3.xml><?xml version="1.0" encoding="utf-8"?>
<ds:datastoreItem xmlns:ds="http://schemas.openxmlformats.org/officeDocument/2006/customXml" ds:itemID="{6DCA6506-D721-4A26-B7E5-C81ACE9E689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564203-4f9d-456e-bbd5-bcde15d25ed1"/>
    <ds:schemaRef ds:uri="e8430fe7-0ffd-46be-bd3e-d4cd89ef035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989ece0-f90e-40bf-9c79-1a7beccdb861}" enabled="0" method="" siteId="{5989ece0-f90e-40bf-9c79-1a7beccdb86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22</vt:i4>
      </vt:variant>
    </vt:vector>
  </HeadingPairs>
  <TitlesOfParts>
    <vt:vector size="22" baseType="lpstr">
      <vt:lpstr>cover</vt:lpstr>
      <vt:lpstr>changelog</vt:lpstr>
      <vt:lpstr>OMOP ConversionScope</vt:lpstr>
      <vt:lpstr>ETL_FLOW</vt:lpstr>
      <vt:lpstr>LOCATION</vt:lpstr>
      <vt:lpstr>CARE_SITE</vt:lpstr>
      <vt:lpstr>PROVIDER</vt:lpstr>
      <vt:lpstr>PERSON</vt:lpstr>
      <vt:lpstr>VISIT_OCCURENCE</vt:lpstr>
      <vt:lpstr>VISIT_DETAIL</vt:lpstr>
      <vt:lpstr>DEATH</vt:lpstr>
      <vt:lpstr>CONDITION_OCCURRENCE</vt:lpstr>
      <vt:lpstr>DRUG_EXPOSURE(prescription)</vt:lpstr>
      <vt:lpstr>DRUG_EXPOSURE (inject)</vt:lpstr>
      <vt:lpstr>MEASUREMENT</vt:lpstr>
      <vt:lpstr>SPECIMEN</vt:lpstr>
      <vt:lpstr>★EVENT_MAPPING</vt:lpstr>
      <vt:lpstr>→ワーク資料</vt:lpstr>
      <vt:lpstr>SOURCE_TO_CONCEPT_MAP</vt:lpstr>
      <vt:lpstr>CONCEPT</vt:lpstr>
      <vt:lpstr>国内用語コードのconceptIDの割り当て方</vt:lpstr>
      <vt:lpstr>ConditionStatus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Kakimoto, Hiroki</dc:creator>
  <cp:lastModifiedBy>馬場　雅浩</cp:lastModifiedBy>
  <cp:lastPrinted>2025-11-12T08:09:37Z</cp:lastPrinted>
  <dcterms:created xsi:type="dcterms:W3CDTF">2024-09-25T02:16:19Z</dcterms:created>
  <dcterms:modified xsi:type="dcterms:W3CDTF">2026-03-26T02:32:03Z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0x01010014D4EEBA958DF94FB35A05276C49848C</vt:lpwstr>
  </property>
</Properties>
</file>