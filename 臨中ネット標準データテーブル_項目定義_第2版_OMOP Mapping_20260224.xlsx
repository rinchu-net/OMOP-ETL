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baba\Desktop\2.Deliverable\2.設計書・仕様書\GitHub_公開\"/>
    </mc:Choice>
  </mc:AlternateContent>
  <xr:revisionPtr revIDLastSave="0" documentId="13_ncr:1_{16584858-5721-4BCA-9873-668A5B01B7ED}" xr6:coauthVersionLast="47" xr6:coauthVersionMax="47" xr10:uidLastSave="{00000000-0000-0000-0000-000000000000}"/>
  <bookViews>
    <workbookView xWindow="-120" yWindow="-120" windowWidth="29040" windowHeight="17520" tabRatio="847" xr2:uid="{00000000-000D-0000-FFFF-FFFF00000000}"/>
  </bookViews>
  <sheets>
    <sheet name="表紙" sheetId="5" r:id="rId1"/>
    <sheet name="改訂履歴" sheetId="13" r:id="rId2"/>
    <sheet name="項目" sheetId="6" r:id="rId3"/>
    <sheet name="概要" sheetId="4" r:id="rId4"/>
    <sheet name="命名規則" sheetId="9" r:id="rId5"/>
    <sheet name="PatientID Exchange" sheetId="12" r:id="rId6"/>
    <sheet name="Patient Identification" sheetId="1" r:id="rId7"/>
    <sheet name="Patient Address" sheetId="7" r:id="rId8"/>
    <sheet name="Patient Visit" sheetId="10" r:id="rId9"/>
    <sheet name="Patient Disease" sheetId="2" r:id="rId10"/>
    <sheet name="Observation Result" sheetId="3" r:id="rId11"/>
    <sheet name="Prescription Data" sheetId="8" r:id="rId12"/>
    <sheet name="Injection Data" sheetId="14" r:id="rId13"/>
  </sheets>
  <definedNames>
    <definedName name="_xlnm._FilterDatabase" localSheetId="10" hidden="1">'Observation Result'!$A$7:$AA$44</definedName>
    <definedName name="_xlnm._FilterDatabase" localSheetId="9" hidden="1">'Patient Disease'!$A$7:$AA$39</definedName>
    <definedName name="_xlnm._FilterDatabase" localSheetId="8" hidden="1">'Patient Visit'!$A$7:$U$28</definedName>
    <definedName name="_xlnm._FilterDatabase" localSheetId="11" hidden="1">'Prescription Data'!$A$7:$AA$61</definedName>
    <definedName name="_xlnm.Print_Area" localSheetId="10">'Observation Result'!$A$1:$N$44</definedName>
    <definedName name="_xlnm.Print_Area" localSheetId="7">'Patient Address'!$A$1:$N$14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" i="12" l="1"/>
  <c r="U15" i="12"/>
  <c r="U14" i="12"/>
  <c r="U13" i="12"/>
  <c r="U12" i="12"/>
  <c r="U11" i="12"/>
  <c r="U10" i="12"/>
  <c r="U9" i="12"/>
  <c r="U8" i="12"/>
  <c r="AA43" i="14"/>
  <c r="AA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25" i="14"/>
  <c r="AA24" i="14"/>
  <c r="AA23" i="14"/>
  <c r="AA22" i="14"/>
  <c r="AA21" i="14"/>
  <c r="AA20" i="14"/>
  <c r="AA19" i="14"/>
  <c r="AA18" i="14"/>
  <c r="AA17" i="14"/>
  <c r="AA16" i="14"/>
  <c r="AA15" i="14"/>
  <c r="AA14" i="14"/>
  <c r="AA13" i="14"/>
  <c r="AA12" i="14"/>
  <c r="AA11" i="14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42" i="8"/>
  <c r="AC41" i="8"/>
  <c r="AC40" i="8"/>
  <c r="AC39" i="8"/>
  <c r="AC38" i="8"/>
  <c r="AC3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A8" i="10"/>
  <c r="AA28" i="10"/>
  <c r="AA27" i="10"/>
  <c r="AA26" i="10"/>
  <c r="AA25" i="10"/>
  <c r="AA24" i="10"/>
  <c r="AA23" i="10"/>
  <c r="AA22" i="10"/>
  <c r="AA21" i="10"/>
  <c r="AA20" i="10"/>
  <c r="AA19" i="10"/>
  <c r="AA18" i="10"/>
  <c r="AA17" i="10"/>
  <c r="AA16" i="10"/>
  <c r="AA15" i="10"/>
  <c r="AA14" i="10"/>
  <c r="AA13" i="10"/>
  <c r="AA12" i="10"/>
  <c r="AA11" i="10"/>
  <c r="AA10" i="10"/>
  <c r="AA9" i="10"/>
  <c r="U28" i="10"/>
  <c r="AC28" i="10"/>
  <c r="AC27" i="10"/>
  <c r="AC26" i="10"/>
  <c r="AC25" i="10"/>
  <c r="AC24" i="10"/>
  <c r="AC23" i="10"/>
  <c r="AC22" i="10"/>
  <c r="AC21" i="10"/>
  <c r="AC20" i="10"/>
  <c r="AC19" i="10"/>
  <c r="AC18" i="10"/>
  <c r="AC17" i="10"/>
  <c r="AC16" i="10"/>
  <c r="AC15" i="10"/>
  <c r="AC14" i="10"/>
  <c r="AC13" i="10"/>
  <c r="AC12" i="10"/>
  <c r="AC11" i="10"/>
  <c r="AC10" i="10"/>
  <c r="AC9" i="10"/>
  <c r="AC8" i="10"/>
  <c r="AC14" i="7"/>
  <c r="AC13" i="7"/>
  <c r="AC12" i="7"/>
  <c r="AC11" i="7"/>
  <c r="AC10" i="7"/>
  <c r="AC9" i="7"/>
  <c r="AC8" i="7"/>
  <c r="AC16" i="1"/>
  <c r="AC15" i="1"/>
  <c r="AC14" i="1"/>
  <c r="AC13" i="1"/>
  <c r="AC12" i="1"/>
  <c r="AC11" i="1"/>
  <c r="AC10" i="1"/>
  <c r="AC9" i="1"/>
  <c r="AC8" i="1"/>
  <c r="U43" i="14"/>
  <c r="U42" i="14"/>
  <c r="U41" i="14"/>
  <c r="U40" i="14"/>
  <c r="U39" i="14"/>
  <c r="U38" i="14"/>
  <c r="U37" i="14"/>
  <c r="U36" i="14"/>
  <c r="U35" i="14"/>
  <c r="U34" i="14"/>
  <c r="U33" i="14"/>
  <c r="U32" i="14"/>
  <c r="U31" i="14"/>
  <c r="U30" i="14"/>
  <c r="U29" i="14"/>
  <c r="U28" i="14"/>
  <c r="U27" i="14"/>
  <c r="U26" i="14"/>
  <c r="U25" i="14"/>
  <c r="U24" i="14"/>
  <c r="U23" i="14"/>
  <c r="U22" i="14"/>
  <c r="U21" i="14"/>
  <c r="U20" i="14"/>
  <c r="U19" i="14"/>
  <c r="U18" i="14"/>
  <c r="U17" i="14"/>
  <c r="U16" i="14"/>
  <c r="U15" i="14"/>
  <c r="U14" i="14"/>
  <c r="U13" i="14"/>
  <c r="U12" i="14"/>
  <c r="U11" i="14"/>
  <c r="AA10" i="14"/>
  <c r="U10" i="14"/>
  <c r="AA9" i="14"/>
  <c r="U9" i="14"/>
  <c r="AA8" i="14"/>
  <c r="U8" i="14"/>
  <c r="U61" i="8"/>
  <c r="U60" i="8"/>
  <c r="U59" i="8"/>
  <c r="U58" i="8"/>
  <c r="U57" i="8"/>
  <c r="U56" i="8"/>
  <c r="U55" i="8"/>
  <c r="U54" i="8"/>
  <c r="U53" i="8"/>
  <c r="U52" i="8"/>
  <c r="U51" i="8"/>
  <c r="U50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25" i="8"/>
  <c r="AA24" i="8"/>
  <c r="AA23" i="8"/>
  <c r="AA22" i="8"/>
  <c r="AA21" i="8"/>
  <c r="AA20" i="8"/>
  <c r="AA19" i="8"/>
  <c r="AA18" i="8"/>
  <c r="AA17" i="8"/>
  <c r="AA16" i="8"/>
  <c r="AA15" i="8"/>
  <c r="AA14" i="8"/>
  <c r="AA13" i="8"/>
  <c r="AA12" i="8"/>
  <c r="AA11" i="8"/>
  <c r="AA10" i="8"/>
  <c r="AA9" i="8"/>
  <c r="AA8" i="8"/>
  <c r="U49" i="8"/>
  <c r="U48" i="8"/>
  <c r="U47" i="8"/>
  <c r="U46" i="8"/>
  <c r="U45" i="8"/>
  <c r="U44" i="8"/>
  <c r="U43" i="8"/>
  <c r="U42" i="8"/>
  <c r="U41" i="8"/>
  <c r="U40" i="8"/>
  <c r="U39" i="8"/>
  <c r="U38" i="8"/>
  <c r="U37" i="8"/>
  <c r="U36" i="8"/>
  <c r="U35" i="8"/>
  <c r="U34" i="8"/>
  <c r="U33" i="8"/>
  <c r="U32" i="8"/>
  <c r="U31" i="8"/>
  <c r="U30" i="8"/>
  <c r="U2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U8" i="8"/>
  <c r="U44" i="3"/>
  <c r="U43" i="3"/>
  <c r="U42" i="3"/>
  <c r="U41" i="3"/>
  <c r="U40" i="3"/>
  <c r="U39" i="3"/>
  <c r="U38" i="3"/>
  <c r="U37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15" i="7"/>
  <c r="U14" i="7"/>
  <c r="U13" i="7"/>
  <c r="U12" i="7"/>
  <c r="U11" i="7"/>
  <c r="U10" i="7"/>
  <c r="U9" i="7"/>
  <c r="U8" i="7"/>
  <c r="U16" i="1"/>
  <c r="U15" i="1"/>
  <c r="U14" i="1"/>
  <c r="U13" i="1"/>
  <c r="U12" i="1"/>
  <c r="U11" i="1"/>
  <c r="U10" i="1"/>
  <c r="U9" i="1"/>
  <c r="U8" i="1"/>
</calcChain>
</file>

<file path=xl/sharedStrings.xml><?xml version="1.0" encoding="utf-8"?>
<sst xmlns="http://schemas.openxmlformats.org/spreadsheetml/2006/main" count="2497" uniqueCount="1165">
  <si>
    <t>臨中ネット標準データベース</t>
    <rPh sb="0" eb="2">
      <t>リンチュウ</t>
    </rPh>
    <rPh sb="5" eb="7">
      <t>ヒョウジュン</t>
    </rPh>
    <phoneticPr fontId="4"/>
  </si>
  <si>
    <t>臨中ネットデータテーブル定義書</t>
    <rPh sb="0" eb="1">
      <t>リン</t>
    </rPh>
    <rPh sb="1" eb="2">
      <t>チュウ</t>
    </rPh>
    <rPh sb="12" eb="15">
      <t>テイギショ</t>
    </rPh>
    <phoneticPr fontId="4"/>
  </si>
  <si>
    <t>第2版</t>
    <rPh sb="0" eb="1">
      <t>ダイ</t>
    </rPh>
    <rPh sb="2" eb="3">
      <t>ハン</t>
    </rPh>
    <phoneticPr fontId="4"/>
  </si>
  <si>
    <t>作成日：</t>
    <rPh sb="0" eb="3">
      <t>サクセイビ</t>
    </rPh>
    <phoneticPr fontId="4"/>
  </si>
  <si>
    <t>更新日：</t>
    <rPh sb="0" eb="3">
      <t>コウシンビ</t>
    </rPh>
    <phoneticPr fontId="4"/>
  </si>
  <si>
    <t>【改訂履歴】</t>
    <rPh sb="1" eb="3">
      <t>カイテイ</t>
    </rPh>
    <rPh sb="3" eb="5">
      <t>リレキ</t>
    </rPh>
    <phoneticPr fontId="4"/>
  </si>
  <si>
    <t>日付</t>
    <rPh sb="0" eb="2">
      <t>ヒヅケ</t>
    </rPh>
    <phoneticPr fontId="4"/>
  </si>
  <si>
    <t>版</t>
    <rPh sb="0" eb="1">
      <t>ハン</t>
    </rPh>
    <phoneticPr fontId="4"/>
  </si>
  <si>
    <t>内容</t>
    <rPh sb="0" eb="2">
      <t>ナイヨウ</t>
    </rPh>
    <phoneticPr fontId="4"/>
  </si>
  <si>
    <t>第1版</t>
    <rPh sb="0" eb="1">
      <t>ダイ</t>
    </rPh>
    <rPh sb="2" eb="3">
      <t>ハン</t>
    </rPh>
    <phoneticPr fontId="4"/>
  </si>
  <si>
    <t>第1版策定。</t>
    <rPh sb="0" eb="1">
      <t>ダイ</t>
    </rPh>
    <rPh sb="2" eb="3">
      <t>ハン</t>
    </rPh>
    <rPh sb="3" eb="5">
      <t>サクテイ</t>
    </rPh>
    <phoneticPr fontId="4"/>
  </si>
  <si>
    <t>主な改訂履歴は以下の通り。
(1)注射の定義（InjectionData）を追加
(2)YJコードとHOTコードが未設定の場合は変換マスタより補完する
(3)PrescriptionDataに検索用の薬剤コードの項目を追加
(4)OMOP連携の見直し
(5)個別に削除、取消されるレコードを識別する項目を定義し。削除、取消されるレコードを除外してデータセットを作成するように定義を変更
(6)病名終了日など日付の項目でSS-MIX2の定義で「空白とする」となっているものは空白で取り込み、検索用の日付のみ初期値を設定するように変更
   対象は以下の通り
　　DIS_START_DATE（病名開始日）
　　DIS_ESTABLISHED_DATE（診断日）
　　DIS_END_DATE（病名終了日）
　　DIS_OUTCOME_DATE（転帰日）
　　SPM_COLLECT_DATE（検体採取日）
　　PRES_START_DATE（投薬開始日）
　　※DIS_START_DATEのPrimaryKeyを解除
　　※各項目の非null制約を解除
(7)軽微な間違いを修正</t>
    <rPh sb="0" eb="1">
      <t>オモ</t>
    </rPh>
    <rPh sb="2" eb="4">
      <t>カイテイ</t>
    </rPh>
    <rPh sb="4" eb="6">
      <t>リレキ</t>
    </rPh>
    <rPh sb="7" eb="9">
      <t>イカ</t>
    </rPh>
    <rPh sb="10" eb="11">
      <t>トオ</t>
    </rPh>
    <rPh sb="17" eb="19">
      <t>チュウシャ</t>
    </rPh>
    <rPh sb="20" eb="22">
      <t>テイギ</t>
    </rPh>
    <rPh sb="38" eb="40">
      <t>ツイカ</t>
    </rPh>
    <rPh sb="96" eb="99">
      <t>ケンサクヨウ</t>
    </rPh>
    <rPh sb="100" eb="102">
      <t>ヤクザイ</t>
    </rPh>
    <rPh sb="106" eb="108">
      <t>コウモク</t>
    </rPh>
    <rPh sb="109" eb="111">
      <t>ツイカ</t>
    </rPh>
    <rPh sb="119" eb="121">
      <t>レンケイ</t>
    </rPh>
    <rPh sb="122" eb="124">
      <t>ミナオ</t>
    </rPh>
    <rPh sb="156" eb="158">
      <t>サクジョ</t>
    </rPh>
    <rPh sb="159" eb="161">
      <t>トリケシ</t>
    </rPh>
    <rPh sb="169" eb="171">
      <t>ジョガイ</t>
    </rPh>
    <rPh sb="180" eb="182">
      <t>サクセイ</t>
    </rPh>
    <rPh sb="187" eb="189">
      <t>テイギ</t>
    </rPh>
    <rPh sb="190" eb="192">
      <t>ヘンコウ</t>
    </rPh>
    <rPh sb="480" eb="482">
      <t>ケイビ</t>
    </rPh>
    <rPh sb="483" eb="485">
      <t>マチガ</t>
    </rPh>
    <rPh sb="487" eb="489">
      <t>シュウセイ</t>
    </rPh>
    <phoneticPr fontId="4"/>
  </si>
  <si>
    <t>【テーブル一覧】</t>
    <rPh sb="5" eb="7">
      <t>イチラン</t>
    </rPh>
    <phoneticPr fontId="4"/>
  </si>
  <si>
    <t>No</t>
    <phoneticPr fontId="4"/>
  </si>
  <si>
    <t>物理名</t>
    <rPh sb="0" eb="2">
      <t>ブツリ</t>
    </rPh>
    <rPh sb="2" eb="3">
      <t>メイ</t>
    </rPh>
    <phoneticPr fontId="4"/>
  </si>
  <si>
    <t>論理名</t>
    <rPh sb="0" eb="2">
      <t>ロンリ</t>
    </rPh>
    <rPh sb="2" eb="3">
      <t>メイ</t>
    </rPh>
    <phoneticPr fontId="4"/>
  </si>
  <si>
    <t>用途</t>
    <rPh sb="0" eb="2">
      <t>ヨウト</t>
    </rPh>
    <phoneticPr fontId="4"/>
  </si>
  <si>
    <t>PatientIDExchange</t>
    <phoneticPr fontId="4"/>
  </si>
  <si>
    <t>患者ID変換テーブル</t>
  </si>
  <si>
    <t>PatientIdentification</t>
    <phoneticPr fontId="4"/>
  </si>
  <si>
    <t>臨中ネット患者基本データテーブル</t>
  </si>
  <si>
    <t>PatientAddress</t>
  </si>
  <si>
    <t>臨中ネット患者住所データテーブル</t>
    <rPh sb="7" eb="9">
      <t>ジュウショ</t>
    </rPh>
    <phoneticPr fontId="4"/>
  </si>
  <si>
    <t>PatientVisit</t>
    <phoneticPr fontId="4"/>
  </si>
  <si>
    <t>臨中ネット患者来院履歴テーブル</t>
    <rPh sb="0" eb="2">
      <t>リンチュウ</t>
    </rPh>
    <rPh sb="9" eb="11">
      <t>リレキ</t>
    </rPh>
    <phoneticPr fontId="4"/>
  </si>
  <si>
    <t>PatientDisease</t>
    <phoneticPr fontId="4"/>
  </si>
  <si>
    <t>臨中ネット患者病名データテーブル</t>
    <rPh sb="5" eb="7">
      <t>カンジャ</t>
    </rPh>
    <phoneticPr fontId="4"/>
  </si>
  <si>
    <t>ObservationResult</t>
  </si>
  <si>
    <t>臨中ネット検体検査結果データテーブル</t>
  </si>
  <si>
    <t>PrescriptionData</t>
    <phoneticPr fontId="4"/>
  </si>
  <si>
    <t>臨中ネット処方データテーブル</t>
  </si>
  <si>
    <t>InjectionData</t>
    <phoneticPr fontId="4"/>
  </si>
  <si>
    <t>臨中ネット注射データテーブル</t>
    <rPh sb="5" eb="7">
      <t>チュウシャ</t>
    </rPh>
    <phoneticPr fontId="4"/>
  </si>
  <si>
    <t>【項目一覧】</t>
    <rPh sb="1" eb="3">
      <t>コウモク</t>
    </rPh>
    <rPh sb="3" eb="5">
      <t>イチラン</t>
    </rPh>
    <phoneticPr fontId="4"/>
  </si>
  <si>
    <t>項目名</t>
    <rPh sb="0" eb="2">
      <t>コウモク</t>
    </rPh>
    <rPh sb="2" eb="3">
      <t>メイ</t>
    </rPh>
    <phoneticPr fontId="4"/>
  </si>
  <si>
    <t>説明</t>
    <rPh sb="0" eb="2">
      <t>セツメイ</t>
    </rPh>
    <phoneticPr fontId="4"/>
  </si>
  <si>
    <t>項目番号</t>
    <rPh sb="0" eb="4">
      <t>コウモクバンゴウ</t>
    </rPh>
    <phoneticPr fontId="4"/>
  </si>
  <si>
    <t>Key</t>
    <phoneticPr fontId="4"/>
  </si>
  <si>
    <t>リレーション情報を記載する。</t>
    <rPh sb="6" eb="8">
      <t>ジョウホウ</t>
    </rPh>
    <rPh sb="9" eb="11">
      <t>キサイ</t>
    </rPh>
    <phoneticPr fontId="4"/>
  </si>
  <si>
    <t>登録するレコードの特定や重複を避けるために設定する。</t>
    <rPh sb="0" eb="2">
      <t>トウロク</t>
    </rPh>
    <rPh sb="9" eb="11">
      <t>トクテイ</t>
    </rPh>
    <rPh sb="12" eb="14">
      <t>ジュウフク</t>
    </rPh>
    <rPh sb="15" eb="16">
      <t>サ</t>
    </rPh>
    <rPh sb="21" eb="23">
      <t>セッテイ</t>
    </rPh>
    <phoneticPr fontId="4"/>
  </si>
  <si>
    <t>Index</t>
    <phoneticPr fontId="4"/>
  </si>
  <si>
    <t>インデックス情報を記載する。</t>
    <rPh sb="6" eb="8">
      <t>ジョウホウ</t>
    </rPh>
    <rPh sb="9" eb="11">
      <t>キサイ</t>
    </rPh>
    <phoneticPr fontId="4"/>
  </si>
  <si>
    <t>検索条件指定時などに利用する。</t>
    <rPh sb="0" eb="4">
      <t>ケンサクジョウケン</t>
    </rPh>
    <rPh sb="4" eb="6">
      <t>シテイ</t>
    </rPh>
    <rPh sb="6" eb="7">
      <t>ジ</t>
    </rPh>
    <rPh sb="10" eb="12">
      <t>リヨウ</t>
    </rPh>
    <phoneticPr fontId="4"/>
  </si>
  <si>
    <t>カラム名</t>
    <phoneticPr fontId="4"/>
  </si>
  <si>
    <t>データベースにおける列の名称を記載する。</t>
    <rPh sb="15" eb="17">
      <t>キサイ</t>
    </rPh>
    <phoneticPr fontId="4"/>
  </si>
  <si>
    <t>SQLで条件等を設定する際に用いる。</t>
    <rPh sb="4" eb="7">
      <t>ジョウケントウ</t>
    </rPh>
    <rPh sb="8" eb="10">
      <t>セッテイ</t>
    </rPh>
    <rPh sb="12" eb="13">
      <t>サイ</t>
    </rPh>
    <rPh sb="14" eb="15">
      <t>モチ</t>
    </rPh>
    <phoneticPr fontId="4"/>
  </si>
  <si>
    <t>項目名</t>
    <phoneticPr fontId="4"/>
  </si>
  <si>
    <t>システム上の項目の名称を記載する。</t>
    <rPh sb="4" eb="5">
      <t>ジョウ</t>
    </rPh>
    <rPh sb="6" eb="8">
      <t>コウモク</t>
    </rPh>
    <rPh sb="9" eb="11">
      <t>メイショウ</t>
    </rPh>
    <rPh sb="12" eb="14">
      <t>キサイ</t>
    </rPh>
    <phoneticPr fontId="4"/>
  </si>
  <si>
    <t>項目概要</t>
    <phoneticPr fontId="4"/>
  </si>
  <si>
    <t>その項目が何に使われるか、レコード登録時の条件等を記載する。</t>
    <rPh sb="2" eb="4">
      <t>コウモク</t>
    </rPh>
    <rPh sb="5" eb="6">
      <t>ナニ</t>
    </rPh>
    <rPh sb="7" eb="8">
      <t>ツカ</t>
    </rPh>
    <rPh sb="17" eb="20">
      <t>トウロクジ</t>
    </rPh>
    <rPh sb="21" eb="24">
      <t>ジョウケントウ</t>
    </rPh>
    <rPh sb="25" eb="27">
      <t>キサイ</t>
    </rPh>
    <phoneticPr fontId="4"/>
  </si>
  <si>
    <t>データ型</t>
    <phoneticPr fontId="4"/>
  </si>
  <si>
    <t>文字列、数字、日付などのデータの形式を記載する。</t>
    <rPh sb="0" eb="3">
      <t>モジレツ</t>
    </rPh>
    <rPh sb="4" eb="6">
      <t>スウジ</t>
    </rPh>
    <rPh sb="7" eb="9">
      <t>ヒヅケ</t>
    </rPh>
    <rPh sb="16" eb="18">
      <t>ケイシキ</t>
    </rPh>
    <rPh sb="19" eb="21">
      <t>キサイ</t>
    </rPh>
    <phoneticPr fontId="4"/>
  </si>
  <si>
    <t>非NULL制約</t>
    <phoneticPr fontId="4"/>
  </si>
  <si>
    <t>空白を許容するかどうかを記載する。「Not Null」は空白を許容しない。</t>
    <rPh sb="0" eb="2">
      <t>クウハク</t>
    </rPh>
    <rPh sb="3" eb="5">
      <t>キョヨウ</t>
    </rPh>
    <rPh sb="12" eb="14">
      <t>キサイ</t>
    </rPh>
    <rPh sb="28" eb="30">
      <t>クウハク</t>
    </rPh>
    <rPh sb="31" eb="33">
      <t>キョヨウ</t>
    </rPh>
    <phoneticPr fontId="4"/>
  </si>
  <si>
    <t>初期値</t>
    <rPh sb="0" eb="3">
      <t>ショキチ</t>
    </rPh>
    <phoneticPr fontId="4"/>
  </si>
  <si>
    <t>項目の初期値を記載する。本来期待するデータがHISに記録されなかった場合に初期値を記録する。</t>
    <rPh sb="0" eb="2">
      <t>コウモク</t>
    </rPh>
    <rPh sb="3" eb="6">
      <t>ショキチ</t>
    </rPh>
    <rPh sb="7" eb="9">
      <t>キサイ</t>
    </rPh>
    <rPh sb="37" eb="40">
      <t>ショキチ</t>
    </rPh>
    <rPh sb="41" eb="43">
      <t>キロク</t>
    </rPh>
    <phoneticPr fontId="4"/>
  </si>
  <si>
    <t>除外条件等で利用する。</t>
    <rPh sb="0" eb="2">
      <t>ジョガイ</t>
    </rPh>
    <rPh sb="2" eb="4">
      <t>ジョウケン</t>
    </rPh>
    <rPh sb="4" eb="5">
      <t>トウ</t>
    </rPh>
    <rPh sb="6" eb="8">
      <t>リヨウ</t>
    </rPh>
    <phoneticPr fontId="4"/>
  </si>
  <si>
    <t>SS-MIX2</t>
    <phoneticPr fontId="4"/>
  </si>
  <si>
    <t>SS-MIX2からデータを引用する際の目安となるSS-MIX2のフィールド名を記載する。</t>
    <rPh sb="13" eb="15">
      <t>インヨウ</t>
    </rPh>
    <rPh sb="17" eb="18">
      <t>サイ</t>
    </rPh>
    <rPh sb="19" eb="21">
      <t>メヤス</t>
    </rPh>
    <rPh sb="37" eb="38">
      <t>メイ</t>
    </rPh>
    <rPh sb="39" eb="41">
      <t>キサイ</t>
    </rPh>
    <phoneticPr fontId="4"/>
  </si>
  <si>
    <r>
      <t>H</t>
    </r>
    <r>
      <rPr>
        <sz val="10"/>
        <rFont val="游ゴシック"/>
        <family val="3"/>
        <charset val="128"/>
        <scheme val="minor"/>
      </rPr>
      <t>L7</t>
    </r>
    <phoneticPr fontId="4"/>
  </si>
  <si>
    <t>SS-MIX2のフィールドが複数の要素で構成される場合に元となるHL7の要素を特定する。</t>
    <rPh sb="14" eb="16">
      <t>フクスウ</t>
    </rPh>
    <rPh sb="17" eb="19">
      <t>ヨウソ</t>
    </rPh>
    <rPh sb="20" eb="22">
      <t>コウセイ</t>
    </rPh>
    <rPh sb="25" eb="27">
      <t>バアイ</t>
    </rPh>
    <rPh sb="28" eb="29">
      <t>モト</t>
    </rPh>
    <rPh sb="36" eb="38">
      <t>ヨウソ</t>
    </rPh>
    <rPh sb="39" eb="41">
      <t>トクテイ</t>
    </rPh>
    <phoneticPr fontId="4"/>
  </si>
  <si>
    <t>必須</t>
    <rPh sb="0" eb="2">
      <t>ヒッス</t>
    </rPh>
    <phoneticPr fontId="4"/>
  </si>
  <si>
    <t>データを引用する際に必須／非必須などとする条件を記載する。</t>
    <rPh sb="4" eb="6">
      <t>インヨウ</t>
    </rPh>
    <rPh sb="8" eb="9">
      <t>サイ</t>
    </rPh>
    <rPh sb="10" eb="12">
      <t>ヒッス</t>
    </rPh>
    <rPh sb="12" eb="16">
      <t>･ヒヒッス</t>
    </rPh>
    <rPh sb="21" eb="23">
      <t>ジョウケン</t>
    </rPh>
    <rPh sb="24" eb="26">
      <t>キサイ</t>
    </rPh>
    <phoneticPr fontId="4"/>
  </si>
  <si>
    <t>OMOP</t>
    <phoneticPr fontId="4"/>
  </si>
  <si>
    <t>OMOP連携時のOMOPの項目を記載する。</t>
    <rPh sb="4" eb="7">
      <t>レンケイジ</t>
    </rPh>
    <rPh sb="13" eb="15">
      <t>コウモク</t>
    </rPh>
    <rPh sb="16" eb="18">
      <t>キサイ</t>
    </rPh>
    <phoneticPr fontId="4"/>
  </si>
  <si>
    <t>備考</t>
    <phoneticPr fontId="4"/>
  </si>
  <si>
    <t>補足説明などを記載する。</t>
    <rPh sb="0" eb="2">
      <t>ホソク</t>
    </rPh>
    <rPh sb="2" eb="4">
      <t>セツメイ</t>
    </rPh>
    <rPh sb="7" eb="9">
      <t>キサイ</t>
    </rPh>
    <phoneticPr fontId="4"/>
  </si>
  <si>
    <t>施設代替項目</t>
  </si>
  <si>
    <t>各施設の事情により定義内容と異なる部分よりデータを抽出する場合に抽出元などを記載する。</t>
    <phoneticPr fontId="4"/>
  </si>
  <si>
    <t>施設備考欄</t>
    <rPh sb="0" eb="2">
      <t>シセツ</t>
    </rPh>
    <rPh sb="2" eb="5">
      <t>ビコウラン</t>
    </rPh>
    <phoneticPr fontId="4"/>
  </si>
  <si>
    <t>施設内の補足説明などを記載する。</t>
    <rPh sb="0" eb="3">
      <t>シセツナイ</t>
    </rPh>
    <rPh sb="4" eb="8">
      <t>ホソクセツメイ</t>
    </rPh>
    <rPh sb="11" eb="13">
      <t>キサイ</t>
    </rPh>
    <phoneticPr fontId="4"/>
  </si>
  <si>
    <t>抽出の可否、別テーブルに記載されているなどを確認する。</t>
    <rPh sb="0" eb="2">
      <t>チュウシュツ</t>
    </rPh>
    <rPh sb="3" eb="5">
      <t>カヒ</t>
    </rPh>
    <rPh sb="6" eb="7">
      <t>ベツ</t>
    </rPh>
    <rPh sb="12" eb="14">
      <t>キサイ</t>
    </rPh>
    <rPh sb="22" eb="24">
      <t>カクニン</t>
    </rPh>
    <phoneticPr fontId="4"/>
  </si>
  <si>
    <t>【概要】</t>
    <rPh sb="1" eb="3">
      <t>ガイヨウ</t>
    </rPh>
    <phoneticPr fontId="4"/>
  </si>
  <si>
    <t>この定義書は臨中ネット標準データベースシステム構成の「臨中ネットデータテーブル」に関するものである。</t>
    <rPh sb="2" eb="4">
      <t>テイギ</t>
    </rPh>
    <rPh sb="4" eb="5">
      <t>ショ</t>
    </rPh>
    <rPh sb="6" eb="8">
      <t>リンチュウ</t>
    </rPh>
    <rPh sb="11" eb="13">
      <t>ヒョウジュン</t>
    </rPh>
    <rPh sb="23" eb="25">
      <t>コウセイ</t>
    </rPh>
    <rPh sb="27" eb="29">
      <t>リンチュウ</t>
    </rPh>
    <rPh sb="41" eb="42">
      <t>カン</t>
    </rPh>
    <phoneticPr fontId="4"/>
  </si>
  <si>
    <t>病院オリジナルデータテーブルは各施設の病院情報システムより抽出したデータを格納する。</t>
    <rPh sb="0" eb="2">
      <t>ビョウイン</t>
    </rPh>
    <rPh sb="15" eb="18">
      <t>カクシセツ</t>
    </rPh>
    <rPh sb="19" eb="21">
      <t>ビョウイン</t>
    </rPh>
    <rPh sb="21" eb="23">
      <t>ジョウホウ</t>
    </rPh>
    <rPh sb="29" eb="31">
      <t>チュウシュツ</t>
    </rPh>
    <rPh sb="37" eb="39">
      <t>カクノウ</t>
    </rPh>
    <phoneticPr fontId="4"/>
  </si>
  <si>
    <t>病名開始年齢など、別途計算が必要となる一部のデータをのぞき、病院情報システムのデータをそのまま記録する。</t>
    <rPh sb="0" eb="4">
      <t>ビョウメイカイシ</t>
    </rPh>
    <rPh sb="4" eb="6">
      <t>ネンレイ</t>
    </rPh>
    <rPh sb="9" eb="11">
      <t>ベット</t>
    </rPh>
    <rPh sb="11" eb="13">
      <t>ケイサン</t>
    </rPh>
    <rPh sb="14" eb="16">
      <t>ヒツヨウ</t>
    </rPh>
    <rPh sb="19" eb="21">
      <t>イチブ</t>
    </rPh>
    <rPh sb="30" eb="32">
      <t>ビョウイン</t>
    </rPh>
    <rPh sb="32" eb="34">
      <t>ジョウホウ</t>
    </rPh>
    <rPh sb="47" eb="49">
      <t>キロク</t>
    </rPh>
    <phoneticPr fontId="4"/>
  </si>
  <si>
    <t>病院情報システムより引用する日付（検体採取日、処方開始日など）は文字列型とし、検索用に別途DATE型のカラムを設ける。</t>
    <rPh sb="0" eb="2">
      <t>ビョウイン</t>
    </rPh>
    <rPh sb="2" eb="4">
      <t>ジョウホウ</t>
    </rPh>
    <rPh sb="10" eb="12">
      <t>インヨウ</t>
    </rPh>
    <rPh sb="14" eb="16">
      <t>ヒヅケ</t>
    </rPh>
    <rPh sb="17" eb="22">
      <t>ケンタイサイシュビ</t>
    </rPh>
    <rPh sb="23" eb="28">
      <t>ショホウカイシビ</t>
    </rPh>
    <rPh sb="32" eb="35">
      <t>モジレツ</t>
    </rPh>
    <rPh sb="35" eb="36">
      <t>ガタ</t>
    </rPh>
    <rPh sb="39" eb="42">
      <t>ケンサクヨウ</t>
    </rPh>
    <rPh sb="43" eb="45">
      <t>ベット</t>
    </rPh>
    <rPh sb="49" eb="50">
      <t>ガタ</t>
    </rPh>
    <rPh sb="55" eb="56">
      <t>モウ</t>
    </rPh>
    <phoneticPr fontId="4"/>
  </si>
  <si>
    <t>変換マスタを用いて標準コードへ変換したデータを臨中ネットデータテーブルへ格納する。</t>
    <rPh sb="0" eb="2">
      <t>ヘンカン</t>
    </rPh>
    <rPh sb="6" eb="7">
      <t>モチ</t>
    </rPh>
    <rPh sb="9" eb="11">
      <t>ヒョウジュン</t>
    </rPh>
    <rPh sb="15" eb="17">
      <t>ヘンカン</t>
    </rPh>
    <rPh sb="23" eb="25">
      <t>リンチュウ</t>
    </rPh>
    <rPh sb="36" eb="38">
      <t>カクノウ</t>
    </rPh>
    <phoneticPr fontId="4"/>
  </si>
  <si>
    <t>ベースとなるSS-MIX2の仕様書はVer.1.2fとし、この仕様書が参照するJAHISの規約を参考にする。</t>
    <rPh sb="14" eb="17">
      <t>シヨウショ</t>
    </rPh>
    <rPh sb="31" eb="34">
      <t>シヨウショ</t>
    </rPh>
    <rPh sb="35" eb="37">
      <t>サンショウ</t>
    </rPh>
    <rPh sb="45" eb="47">
      <t>キヤク</t>
    </rPh>
    <rPh sb="48" eb="50">
      <t>サンコウ</t>
    </rPh>
    <phoneticPr fontId="4"/>
  </si>
  <si>
    <t>ただし、処方については「JAHIS処方データ交換規約Ver.2.1」では十分な定義ができないため「JAHIS 処方データ交換規約 Ver.3.0C」を用いて定義を行い、定義通りに出力できない場合の代替え案を定めることとする。</t>
    <rPh sb="4" eb="6">
      <t>ショホウ</t>
    </rPh>
    <rPh sb="36" eb="38">
      <t>ジュウブン</t>
    </rPh>
    <rPh sb="39" eb="41">
      <t>テイギ</t>
    </rPh>
    <rPh sb="75" eb="76">
      <t>モチ</t>
    </rPh>
    <rPh sb="78" eb="80">
      <t>テイギ</t>
    </rPh>
    <rPh sb="81" eb="82">
      <t>オコナ</t>
    </rPh>
    <rPh sb="84" eb="87">
      <t>テイギトオ</t>
    </rPh>
    <rPh sb="89" eb="91">
      <t>シュツリョク</t>
    </rPh>
    <rPh sb="95" eb="97">
      <t>バアイ</t>
    </rPh>
    <rPh sb="98" eb="100">
      <t>ダイガ</t>
    </rPh>
    <rPh sb="101" eb="102">
      <t>アン</t>
    </rPh>
    <rPh sb="103" eb="104">
      <t>サダ</t>
    </rPh>
    <phoneticPr fontId="4"/>
  </si>
  <si>
    <t>データの提供は2020年4月以降とする。</t>
    <rPh sb="4" eb="6">
      <t>テイキョウ</t>
    </rPh>
    <rPh sb="11" eb="12">
      <t>ネン</t>
    </rPh>
    <rPh sb="13" eb="14">
      <t>ガツ</t>
    </rPh>
    <rPh sb="14" eb="16">
      <t>イコウ</t>
    </rPh>
    <phoneticPr fontId="4"/>
  </si>
  <si>
    <t>【臨中ネット標準データベース　システム構成】</t>
    <phoneticPr fontId="4"/>
  </si>
  <si>
    <t>【命名規則】</t>
    <rPh sb="1" eb="5">
      <t>メイメイキソク</t>
    </rPh>
    <phoneticPr fontId="4"/>
  </si>
  <si>
    <t>以下のように略語を定める。</t>
    <rPh sb="0" eb="2">
      <t>イカ</t>
    </rPh>
    <rPh sb="6" eb="8">
      <t>リャクゴ</t>
    </rPh>
    <rPh sb="9" eb="10">
      <t>サダ</t>
    </rPh>
    <phoneticPr fontId="4"/>
  </si>
  <si>
    <t>用語</t>
    <rPh sb="0" eb="2">
      <t>ヨウゴ</t>
    </rPh>
    <phoneticPr fontId="4"/>
  </si>
  <si>
    <t>HIS</t>
    <phoneticPr fontId="4"/>
  </si>
  <si>
    <t>病院情報システム。</t>
    <rPh sb="0" eb="4">
      <t>ビョウインジョウホウ</t>
    </rPh>
    <phoneticPr fontId="4"/>
  </si>
  <si>
    <t>ALT</t>
    <phoneticPr fontId="4"/>
  </si>
  <si>
    <t>Alternative。代替え。</t>
    <rPh sb="12" eb="14">
      <t>ダイガ</t>
    </rPh>
    <phoneticPr fontId="4"/>
  </si>
  <si>
    <t>HSP</t>
    <phoneticPr fontId="4"/>
  </si>
  <si>
    <t>病院オリジナルデータテーブル。</t>
    <rPh sb="0" eb="2">
      <t>ビョウイン</t>
    </rPh>
    <phoneticPr fontId="4"/>
  </si>
  <si>
    <t>ID</t>
    <phoneticPr fontId="4"/>
  </si>
  <si>
    <t>システム内で一意に識別するための識別子。</t>
    <rPh sb="4" eb="5">
      <t>ナイ</t>
    </rPh>
    <rPh sb="6" eb="8">
      <t>イチイ</t>
    </rPh>
    <rPh sb="9" eb="11">
      <t>シキベツ</t>
    </rPh>
    <rPh sb="16" eb="19">
      <t>シキベツシ</t>
    </rPh>
    <phoneticPr fontId="4"/>
  </si>
  <si>
    <t>CD</t>
    <phoneticPr fontId="4"/>
  </si>
  <si>
    <t>Code。システム内で対象の識別に用いる。規約等で定められているものはIDではなくCDを使う。</t>
    <rPh sb="9" eb="10">
      <t>ナイ</t>
    </rPh>
    <rPh sb="11" eb="13">
      <t>タイショウ</t>
    </rPh>
    <rPh sb="14" eb="16">
      <t>シキベツ</t>
    </rPh>
    <rPh sb="17" eb="18">
      <t>モチ</t>
    </rPh>
    <rPh sb="21" eb="24">
      <t>キヤクトウ</t>
    </rPh>
    <rPh sb="25" eb="26">
      <t>サダ</t>
    </rPh>
    <rPh sb="44" eb="45">
      <t>ツカ</t>
    </rPh>
    <phoneticPr fontId="4"/>
  </si>
  <si>
    <t>NO</t>
    <phoneticPr fontId="4"/>
  </si>
  <si>
    <t>Number。番号、連番。何かを識別するものではない。</t>
    <rPh sb="7" eb="9">
      <t>バンゴウ</t>
    </rPh>
    <rPh sb="10" eb="12">
      <t>レンバン</t>
    </rPh>
    <rPh sb="13" eb="14">
      <t>ナニ</t>
    </rPh>
    <rPh sb="16" eb="18">
      <t>シキベツ</t>
    </rPh>
    <phoneticPr fontId="4"/>
  </si>
  <si>
    <t>NAME</t>
    <phoneticPr fontId="4"/>
  </si>
  <si>
    <t>ID、CDに対する名称。</t>
    <rPh sb="6" eb="7">
      <t>タイ</t>
    </rPh>
    <rPh sb="9" eb="11">
      <t>メイショウ</t>
    </rPh>
    <phoneticPr fontId="4"/>
  </si>
  <si>
    <t>TEXT</t>
    <phoneticPr fontId="4"/>
  </si>
  <si>
    <t>テキスト情報。</t>
    <rPh sb="4" eb="6">
      <t>ジョウホウ</t>
    </rPh>
    <phoneticPr fontId="4"/>
  </si>
  <si>
    <t>COMMENT</t>
    <phoneticPr fontId="4"/>
  </si>
  <si>
    <t>コメント情報、テキストで記述する。</t>
    <rPh sb="4" eb="6">
      <t>ジョウホウ</t>
    </rPh>
    <rPh sb="12" eb="14">
      <t>キジュツ</t>
    </rPh>
    <phoneticPr fontId="4"/>
  </si>
  <si>
    <t>DATE</t>
    <phoneticPr fontId="4"/>
  </si>
  <si>
    <t>日付。文字列型とする。</t>
    <rPh sb="0" eb="2">
      <t>ヒヅケ</t>
    </rPh>
    <rPh sb="3" eb="6">
      <t>モジレツ</t>
    </rPh>
    <rPh sb="6" eb="7">
      <t>ガタ</t>
    </rPh>
    <phoneticPr fontId="4"/>
  </si>
  <si>
    <t>TIME</t>
    <phoneticPr fontId="4"/>
  </si>
  <si>
    <t>時刻。文字列型とする。</t>
    <rPh sb="0" eb="2">
      <t>ジコク</t>
    </rPh>
    <rPh sb="3" eb="6">
      <t>モジレツ</t>
    </rPh>
    <rPh sb="6" eb="7">
      <t>ガタ</t>
    </rPh>
    <phoneticPr fontId="4"/>
  </si>
  <si>
    <t>SCH_</t>
    <phoneticPr fontId="4"/>
  </si>
  <si>
    <t>検索用にデータ型を変更した項目。</t>
    <rPh sb="0" eb="3">
      <t>ケンサクヨウ</t>
    </rPh>
    <rPh sb="7" eb="8">
      <t>ガタ</t>
    </rPh>
    <rPh sb="9" eb="11">
      <t>ヘンコウ</t>
    </rPh>
    <rPh sb="13" eb="15">
      <t>コウモク</t>
    </rPh>
    <phoneticPr fontId="4"/>
  </si>
  <si>
    <t>TS_</t>
    <phoneticPr fontId="4"/>
  </si>
  <si>
    <t>タイムスタンプ型のデータを示す。HISからのデータ引用はない。</t>
    <rPh sb="7" eb="8">
      <t>ガタ</t>
    </rPh>
    <rPh sb="13" eb="14">
      <t>シメ</t>
    </rPh>
    <rPh sb="25" eb="27">
      <t>インヨウ</t>
    </rPh>
    <phoneticPr fontId="4"/>
  </si>
  <si>
    <t>PI_</t>
    <phoneticPr fontId="4"/>
  </si>
  <si>
    <t>Patient Information。患者情報。</t>
    <rPh sb="20" eb="22">
      <t>カンジャ</t>
    </rPh>
    <rPh sb="22" eb="24">
      <t>ジョウホウ</t>
    </rPh>
    <phoneticPr fontId="4"/>
  </si>
  <si>
    <t>PA_</t>
    <phoneticPr fontId="4"/>
  </si>
  <si>
    <t>Patient Address。患者住所。</t>
    <rPh sb="16" eb="18">
      <t>カンジャ</t>
    </rPh>
    <rPh sb="18" eb="20">
      <t>ジュウショ</t>
    </rPh>
    <phoneticPr fontId="4"/>
  </si>
  <si>
    <t>PV_</t>
    <phoneticPr fontId="4"/>
  </si>
  <si>
    <t>Patient Visit。患者の来院履歴。外来、入退院履歴。</t>
    <rPh sb="14" eb="16">
      <t>カンジャ</t>
    </rPh>
    <rPh sb="17" eb="19">
      <t>ライイン</t>
    </rPh>
    <rPh sb="19" eb="21">
      <t>リレキ</t>
    </rPh>
    <rPh sb="22" eb="24">
      <t>ガイライ</t>
    </rPh>
    <rPh sb="25" eb="28">
      <t>ニュウタイイン</t>
    </rPh>
    <rPh sb="28" eb="30">
      <t>リレキ</t>
    </rPh>
    <phoneticPr fontId="4"/>
  </si>
  <si>
    <t>DIS_</t>
    <phoneticPr fontId="4"/>
  </si>
  <si>
    <t>Disease。病名</t>
    <rPh sb="8" eb="10">
      <t>ビョウメイ</t>
    </rPh>
    <phoneticPr fontId="4"/>
  </si>
  <si>
    <t>OBR_</t>
    <phoneticPr fontId="4"/>
  </si>
  <si>
    <t>Observation Request Segment。検査依頼／要求。</t>
    <rPh sb="28" eb="32">
      <t>ケンサイライ</t>
    </rPh>
    <rPh sb="33" eb="35">
      <t>ヨウキュウ</t>
    </rPh>
    <phoneticPr fontId="4"/>
  </si>
  <si>
    <t>OBX_</t>
    <phoneticPr fontId="4"/>
  </si>
  <si>
    <t>Observation /Result Segment。検査結果。</t>
    <rPh sb="28" eb="32">
      <t>ケンサケッカ</t>
    </rPh>
    <phoneticPr fontId="4"/>
  </si>
  <si>
    <t>SPM_</t>
    <phoneticPr fontId="4"/>
  </si>
  <si>
    <t>Specimen。材料、検体。</t>
    <rPh sb="9" eb="11">
      <t>ザイリョウ</t>
    </rPh>
    <rPh sb="12" eb="14">
      <t>ケンタイ</t>
    </rPh>
    <phoneticPr fontId="4"/>
  </si>
  <si>
    <t>PRES_</t>
    <phoneticPr fontId="4"/>
  </si>
  <si>
    <t>Prescription。処方。</t>
    <rPh sb="13" eb="15">
      <t>ショホウ</t>
    </rPh>
    <phoneticPr fontId="4"/>
  </si>
  <si>
    <t>INJ_</t>
    <phoneticPr fontId="4"/>
  </si>
  <si>
    <t>Injection。注射。</t>
    <rPh sb="10" eb="12">
      <t>チュウシャ</t>
    </rPh>
    <phoneticPr fontId="4"/>
  </si>
  <si>
    <t>_L</t>
    <phoneticPr fontId="4"/>
  </si>
  <si>
    <t>Local。病院独自コード／名称を示す。</t>
    <rPh sb="6" eb="8">
      <t>ビョウイン</t>
    </rPh>
    <rPh sb="8" eb="10">
      <t>ドクジ</t>
    </rPh>
    <rPh sb="14" eb="16">
      <t>メイショウ</t>
    </rPh>
    <rPh sb="17" eb="18">
      <t>シメ</t>
    </rPh>
    <phoneticPr fontId="4"/>
  </si>
  <si>
    <t>_S</t>
    <phoneticPr fontId="4"/>
  </si>
  <si>
    <t>Standard。標準コード／名称を示す。</t>
    <rPh sb="9" eb="11">
      <t>ヒョウジュン</t>
    </rPh>
    <phoneticPr fontId="4"/>
  </si>
  <si>
    <t>【リレーション情報】</t>
    <rPh sb="7" eb="9">
      <t>ジョウホウ</t>
    </rPh>
    <phoneticPr fontId="4"/>
  </si>
  <si>
    <t>記号</t>
    <rPh sb="0" eb="2">
      <t>キゴウ</t>
    </rPh>
    <phoneticPr fontId="4"/>
  </si>
  <si>
    <t>P</t>
    <phoneticPr fontId="4"/>
  </si>
  <si>
    <t>Primaryキー</t>
    <phoneticPr fontId="4"/>
  </si>
  <si>
    <t>U</t>
    <phoneticPr fontId="4"/>
  </si>
  <si>
    <t>Uniqueキー</t>
    <phoneticPr fontId="4"/>
  </si>
  <si>
    <t>『P』がついている列で複合主キーを構成し、『U』がついている列はUnique制約を課す。</t>
    <phoneticPr fontId="4"/>
  </si>
  <si>
    <t>【必須項目の指定】</t>
    <rPh sb="1" eb="5">
      <t>ヒッスコウモク</t>
    </rPh>
    <rPh sb="6" eb="8">
      <t>シテイ</t>
    </rPh>
    <phoneticPr fontId="4"/>
  </si>
  <si>
    <t>R</t>
    <phoneticPr fontId="4"/>
  </si>
  <si>
    <t>必須。ただし、値がセットできない場合は「””」をセットする。</t>
    <phoneticPr fontId="4"/>
  </si>
  <si>
    <t>RE</t>
    <phoneticPr fontId="4"/>
  </si>
  <si>
    <t>存在すれば必須 。送信側アプリケーションは、該当データがあれば送信しなければならないが、存在しなければ省略する。</t>
    <phoneticPr fontId="4"/>
  </si>
  <si>
    <t>O</t>
    <phoneticPr fontId="4"/>
  </si>
  <si>
    <t>オプション。ただし、原則として、送信側アプリケーションに該当データがあれば、必ず送信をしなければならない。</t>
    <phoneticPr fontId="4"/>
  </si>
  <si>
    <t>C</t>
    <phoneticPr fontId="4"/>
  </si>
  <si>
    <t>トリガイベントおよびその他のフィールド条件により設定要否が決まる。</t>
    <phoneticPr fontId="4"/>
  </si>
  <si>
    <t>N</t>
    <phoneticPr fontId="4"/>
  </si>
  <si>
    <t>通常、使用しない。</t>
    <phoneticPr fontId="4"/>
  </si>
  <si>
    <t>項目No</t>
    <rPh sb="0" eb="2">
      <t>コウモク</t>
    </rPh>
    <phoneticPr fontId="4"/>
  </si>
  <si>
    <t>テーブル名</t>
    <rPh sb="4" eb="5">
      <t>メイ</t>
    </rPh>
    <phoneticPr fontId="4"/>
  </si>
  <si>
    <t>PatientIDExchange（患者ID変換テーブル）</t>
    <rPh sb="18" eb="20">
      <t>カンジャ</t>
    </rPh>
    <rPh sb="22" eb="24">
      <t>ヘンカン</t>
    </rPh>
    <phoneticPr fontId="4"/>
  </si>
  <si>
    <t>SWG5作成日</t>
    <rPh sb="4" eb="7">
      <t>サクセイビ</t>
    </rPh>
    <phoneticPr fontId="4"/>
  </si>
  <si>
    <t>概要</t>
    <rPh sb="0" eb="2">
      <t>ガイヨウ</t>
    </rPh>
    <phoneticPr fontId="4"/>
  </si>
  <si>
    <t>検索用患者IDを設定する。1患者1レコードとする。</t>
    <rPh sb="0" eb="3">
      <t>ケンサクヨウ</t>
    </rPh>
    <rPh sb="3" eb="5">
      <t>カンジャ</t>
    </rPh>
    <rPh sb="8" eb="10">
      <t>セッテイ</t>
    </rPh>
    <phoneticPr fontId="4"/>
  </si>
  <si>
    <t>SWG5更新日</t>
    <rPh sb="4" eb="7">
      <t>コウシンビ</t>
    </rPh>
    <phoneticPr fontId="4"/>
  </si>
  <si>
    <t>臨中ネットデータテーブルでHISの患者IDを利用したくない場合は、HISの患者IDに対し、代替患者IDを設定する。</t>
    <rPh sb="37" eb="39">
      <t>カンジャ</t>
    </rPh>
    <rPh sb="42" eb="43">
      <t>タイ</t>
    </rPh>
    <rPh sb="45" eb="47">
      <t>ダイガ</t>
    </rPh>
    <rPh sb="47" eb="49">
      <t>カンジャ</t>
    </rPh>
    <rPh sb="52" eb="54">
      <t>セッテイ</t>
    </rPh>
    <phoneticPr fontId="4"/>
  </si>
  <si>
    <t>施設更新日</t>
    <rPh sb="0" eb="5">
      <t>シセツコウシンビ</t>
    </rPh>
    <phoneticPr fontId="4"/>
  </si>
  <si>
    <t>臨中ネットデータテーブルでHISの患者IDをそのまま利用する場合は、代替患者IDにSPACEを設定する。</t>
    <rPh sb="26" eb="28">
      <t>リヨウ</t>
    </rPh>
    <rPh sb="34" eb="36">
      <t>ダイガ</t>
    </rPh>
    <rPh sb="36" eb="38">
      <t>カンジャ</t>
    </rPh>
    <rPh sb="47" eb="49">
      <t>セッテイ</t>
    </rPh>
    <phoneticPr fontId="4"/>
  </si>
  <si>
    <t>施設更新者</t>
    <rPh sb="0" eb="2">
      <t>シセツ</t>
    </rPh>
    <rPh sb="2" eb="5">
      <t>コウシンシャ</t>
    </rPh>
    <phoneticPr fontId="4"/>
  </si>
  <si>
    <t>病院オリジナルデータテーブルとの結合時は検索用患者IDを利用する。検索用患者IDにHIS患者IDまたは代替患者IDのどちらかを設定する。</t>
    <rPh sb="0" eb="2">
      <t>ビョウイン</t>
    </rPh>
    <rPh sb="16" eb="19">
      <t>ケツゴウジ</t>
    </rPh>
    <rPh sb="20" eb="22">
      <t>ケンサク</t>
    </rPh>
    <rPh sb="22" eb="23">
      <t>ヨウ</t>
    </rPh>
    <rPh sb="23" eb="25">
      <t>カンジャ</t>
    </rPh>
    <rPh sb="28" eb="30">
      <t>リヨウ</t>
    </rPh>
    <rPh sb="33" eb="36">
      <t>ケンサクヨウ</t>
    </rPh>
    <rPh sb="36" eb="38">
      <t>カンジャ</t>
    </rPh>
    <rPh sb="44" eb="46">
      <t>カンジャ</t>
    </rPh>
    <rPh sb="51" eb="53">
      <t>ダイガ</t>
    </rPh>
    <rPh sb="53" eb="55">
      <t>カンジャ</t>
    </rPh>
    <rPh sb="63" eb="65">
      <t>セッテイ</t>
    </rPh>
    <phoneticPr fontId="4"/>
  </si>
  <si>
    <t>OMOP連携</t>
    <rPh sb="4" eb="6">
      <t>レンケイ</t>
    </rPh>
    <phoneticPr fontId="4"/>
  </si>
  <si>
    <t>P</t>
    <phoneticPr fontId="5"/>
  </si>
  <si>
    <t>HIS_PATIENT_ID</t>
    <phoneticPr fontId="4"/>
  </si>
  <si>
    <t>HIS患者ID</t>
    <rPh sb="3" eb="5">
      <t>カンジャ</t>
    </rPh>
    <phoneticPr fontId="4"/>
  </si>
  <si>
    <t>HISの患者IDを設定する。</t>
    <rPh sb="4" eb="6">
      <t>カンジャ</t>
    </rPh>
    <rPh sb="9" eb="11">
      <t>セッテイ</t>
    </rPh>
    <phoneticPr fontId="4"/>
  </si>
  <si>
    <t>VARCHAR(64)</t>
    <phoneticPr fontId="4"/>
  </si>
  <si>
    <t>NOT NULL</t>
  </si>
  <si>
    <t>''</t>
  </si>
  <si>
    <t>PID-3</t>
    <phoneticPr fontId="4"/>
  </si>
  <si>
    <t xml:space="preserve">PID.3.1 </t>
  </si>
  <si>
    <t>R</t>
  </si>
  <si>
    <t>ALT_PATIENT_ID</t>
    <phoneticPr fontId="4"/>
  </si>
  <si>
    <t>代替患者ID</t>
    <rPh sb="0" eb="4">
      <t>ダイタイカンジャ</t>
    </rPh>
    <phoneticPr fontId="4"/>
  </si>
  <si>
    <t>HISの患者IDの代わりに使用するIDを設定する。変換ロジックは各施設で設定する。</t>
    <rPh sb="4" eb="6">
      <t>カンジャ</t>
    </rPh>
    <rPh sb="9" eb="10">
      <t>カ</t>
    </rPh>
    <rPh sb="13" eb="15">
      <t>シヨウ</t>
    </rPh>
    <rPh sb="20" eb="22">
      <t>セッテイ</t>
    </rPh>
    <rPh sb="25" eb="27">
      <t>ヘンカン</t>
    </rPh>
    <rPh sb="32" eb="35">
      <t>カクシセツ</t>
    </rPh>
    <rPh sb="36" eb="38">
      <t>セッテイ</t>
    </rPh>
    <phoneticPr fontId="4"/>
  </si>
  <si>
    <t>SPACE</t>
    <phoneticPr fontId="4"/>
  </si>
  <si>
    <t>-</t>
  </si>
  <si>
    <t>person_source_value</t>
  </si>
  <si>
    <t>I</t>
  </si>
  <si>
    <t>PATIENT_ID</t>
  </si>
  <si>
    <t>検索用患者ID</t>
    <rPh sb="0" eb="3">
      <t>ケンサクヨウ</t>
    </rPh>
    <rPh sb="3" eb="5">
      <t>カンジャ</t>
    </rPh>
    <phoneticPr fontId="4"/>
  </si>
  <si>
    <t>HIS_PATIENT_IDまたはALT_PATIENT_IDのどちらかを設定する。どちらを設定するかは各施設で決定する。</t>
    <rPh sb="37" eb="39">
      <t>セッテイ</t>
    </rPh>
    <rPh sb="46" eb="48">
      <t>セッテイ</t>
    </rPh>
    <rPh sb="52" eb="55">
      <t>カクシセツ</t>
    </rPh>
    <rPh sb="56" eb="58">
      <t>ケッテイ</t>
    </rPh>
    <phoneticPr fontId="4"/>
  </si>
  <si>
    <t>DATA_UPDATE_DATE</t>
  </si>
  <si>
    <t>データ更新日時</t>
    <rPh sb="3" eb="5">
      <t>コウシン</t>
    </rPh>
    <rPh sb="5" eb="7">
      <t>ニチジ</t>
    </rPh>
    <phoneticPr fontId="4"/>
  </si>
  <si>
    <t>HISでイベントが入力、更新された日時を設定する。</t>
    <rPh sb="9" eb="11">
      <t>ニュウリョク</t>
    </rPh>
    <rPh sb="12" eb="14">
      <t>コウシン</t>
    </rPh>
    <rPh sb="20" eb="22">
      <t>セッテイ</t>
    </rPh>
    <phoneticPr fontId="4"/>
  </si>
  <si>
    <t>VARCHAR(16)</t>
    <phoneticPr fontId="4"/>
  </si>
  <si>
    <t>'99991231235959'</t>
  </si>
  <si>
    <t>PID-33</t>
    <phoneticPr fontId="4"/>
  </si>
  <si>
    <t>PID.33.1</t>
    <phoneticPr fontId="4"/>
  </si>
  <si>
    <t>「YYYYMMDDHHMMSS」形式</t>
    <phoneticPr fontId="4"/>
  </si>
  <si>
    <t>TS_TABLE_UPDATE</t>
    <phoneticPr fontId="4"/>
  </si>
  <si>
    <t>テーブル更新日時</t>
    <rPh sb="4" eb="6">
      <t>コウシン</t>
    </rPh>
    <rPh sb="6" eb="8">
      <t>ニチジ</t>
    </rPh>
    <phoneticPr fontId="4"/>
  </si>
  <si>
    <t>PatientIDExchangeの更新日時を設定する。</t>
    <rPh sb="23" eb="25">
      <t>セッテイ</t>
    </rPh>
    <phoneticPr fontId="4"/>
  </si>
  <si>
    <t>TIMESTAMP</t>
  </si>
  <si>
    <t>9999-12-31 23:59:59</t>
  </si>
  <si>
    <t>PatientIdentification（臨中ネット患者基本データテーブル）</t>
    <rPh sb="27" eb="31">
      <t>カンジャキホン</t>
    </rPh>
    <phoneticPr fontId="4"/>
  </si>
  <si>
    <t>患者の識別情報（基本情報）についての情報を管理する。病院オリジナル患者基本テーブルの値を引用し、そのまま記録または標準コードに変換して記録することとする。</t>
    <rPh sb="21" eb="23">
      <t>カンリ</t>
    </rPh>
    <rPh sb="42" eb="43">
      <t>アタイ</t>
    </rPh>
    <rPh sb="44" eb="46">
      <t>インヨウ</t>
    </rPh>
    <rPh sb="52" eb="54">
      <t>キロク</t>
    </rPh>
    <rPh sb="57" eb="59">
      <t>ヒョウジュン</t>
    </rPh>
    <rPh sb="63" eb="65">
      <t>ヘンカン</t>
    </rPh>
    <rPh sb="67" eb="69">
      <t>キロク</t>
    </rPh>
    <phoneticPr fontId="4"/>
  </si>
  <si>
    <t>1患者1レコードとし、最新の情報のみを記載する。</t>
    <rPh sb="1" eb="3">
      <t>カンジャ</t>
    </rPh>
    <rPh sb="11" eb="13">
      <t>サイシン</t>
    </rPh>
    <rPh sb="14" eb="16">
      <t>ジョウホウ</t>
    </rPh>
    <rPh sb="19" eb="21">
      <t>キサイ</t>
    </rPh>
    <phoneticPr fontId="4"/>
  </si>
  <si>
    <t>SS-MIX2からデータを取り込む場合は「SS-MIX2」の項目を参照のこと。SS-MIX2は「ADT^A08 患者管理 - 患者情報の更新」を利用する。</t>
    <rPh sb="13" eb="14">
      <t>ト</t>
    </rPh>
    <rPh sb="15" eb="16">
      <t>コ</t>
    </rPh>
    <rPh sb="17" eb="19">
      <t>バアイ</t>
    </rPh>
    <rPh sb="30" eb="32">
      <t>コウモク</t>
    </rPh>
    <rPh sb="33" eb="35">
      <t>サンショウ</t>
    </rPh>
    <rPh sb="72" eb="74">
      <t>リヨウ</t>
    </rPh>
    <phoneticPr fontId="4"/>
  </si>
  <si>
    <t>非NULL制約</t>
  </si>
  <si>
    <t>施設代替項目</t>
    <rPh sb="0" eb="2">
      <t>シセツ</t>
    </rPh>
    <rPh sb="2" eb="4">
      <t>ダイガ</t>
    </rPh>
    <rPh sb="4" eb="6">
      <t>コウモク</t>
    </rPh>
    <phoneticPr fontId="4"/>
  </si>
  <si>
    <t>U</t>
    <phoneticPr fontId="5"/>
  </si>
  <si>
    <t>PI_UNIQUE_ID</t>
    <phoneticPr fontId="4"/>
  </si>
  <si>
    <t>ユニークID</t>
    <phoneticPr fontId="4"/>
  </si>
  <si>
    <t>HspPatientIdentificationのPI_UNIQUE_IDの値を設定する。</t>
    <phoneticPr fontId="4"/>
  </si>
  <si>
    <t>SERIAL</t>
    <phoneticPr fontId="4"/>
  </si>
  <si>
    <t>NOT NULL</t>
    <phoneticPr fontId="4"/>
  </si>
  <si>
    <t>''</t>
    <phoneticPr fontId="4"/>
  </si>
  <si>
    <t>-</t>
    <phoneticPr fontId="4"/>
  </si>
  <si>
    <t>P</t>
  </si>
  <si>
    <t>PATIENT_ID</t>
    <phoneticPr fontId="4"/>
  </si>
  <si>
    <t>PatientIDExchangeによりHspPatientIdentificationのPATIENT_IDに対応する検索用患者IDを設定する。</t>
    <rPh sb="56" eb="58">
      <t>タイオウ</t>
    </rPh>
    <rPh sb="68" eb="70">
      <t>セッテイ</t>
    </rPh>
    <phoneticPr fontId="4"/>
  </si>
  <si>
    <t>SEX</t>
    <phoneticPr fontId="4"/>
  </si>
  <si>
    <t>性別</t>
    <rPh sb="0" eb="2">
      <t>セイベツ</t>
    </rPh>
    <phoneticPr fontId="4"/>
  </si>
  <si>
    <t>HspPatientIdentificationのSEXの値を使用者定義表「0001-性別」に定義されているコードに変換する。</t>
    <phoneticPr fontId="4"/>
  </si>
  <si>
    <t>VARCHAR(8)</t>
    <phoneticPr fontId="4"/>
  </si>
  <si>
    <t>'U'</t>
  </si>
  <si>
    <t>PID-8</t>
    <phoneticPr fontId="4"/>
  </si>
  <si>
    <t>PID.8</t>
    <phoneticPr fontId="4"/>
  </si>
  <si>
    <t>gender_source_value</t>
  </si>
  <si>
    <t>【参考】
使用者定義表「0001-性別」
F：女性
M：男性
U：未知
O：その他</t>
    <phoneticPr fontId="4"/>
  </si>
  <si>
    <t>BIRTHDATE</t>
  </si>
  <si>
    <t>生年月日</t>
    <rPh sb="0" eb="4">
      <t>セイネンガッピ</t>
    </rPh>
    <phoneticPr fontId="4"/>
  </si>
  <si>
    <t>HspPatientIdentificationのBIRTHDATEの値を設定する。</t>
  </si>
  <si>
    <t>'99991231'</t>
  </si>
  <si>
    <t>PID-7</t>
    <phoneticPr fontId="4"/>
  </si>
  <si>
    <t>PID.7.1 </t>
  </si>
  <si>
    <t>year_of_birth
month_of_birth
day_of_birth</t>
  </si>
  <si>
    <t>「YYYYMMDD」形式</t>
    <phoneticPr fontId="4"/>
  </si>
  <si>
    <t>SCH_BIRTHDATE</t>
    <phoneticPr fontId="4"/>
  </si>
  <si>
    <t>生年月日（日付型）</t>
  </si>
  <si>
    <t>HspPatientIdentificationのSCH_BIRTHDATEの値を設定する。</t>
    <phoneticPr fontId="4"/>
  </si>
  <si>
    <t>9999-12-31</t>
  </si>
  <si>
    <t>RACE</t>
  </si>
  <si>
    <t>人種</t>
    <rPh sb="0" eb="2">
      <t>ジンシュ</t>
    </rPh>
    <phoneticPr fontId="4"/>
  </si>
  <si>
    <t>HspPatientIdentificationのRACEの値を設定する。</t>
  </si>
  <si>
    <t>PID-10</t>
    <phoneticPr fontId="4"/>
  </si>
  <si>
    <t>PID.10.1</t>
    <phoneticPr fontId="4"/>
  </si>
  <si>
    <t>N</t>
  </si>
  <si>
    <t>race_source_value</t>
  </si>
  <si>
    <t>OMOP連携用、現時点では使用しない</t>
    <rPh sb="4" eb="7">
      <t>レンケイヨウ</t>
    </rPh>
    <rPh sb="8" eb="11">
      <t>ゲンジテン</t>
    </rPh>
    <rPh sb="13" eb="15">
      <t>シヨウ</t>
    </rPh>
    <phoneticPr fontId="4"/>
  </si>
  <si>
    <t>ETHNIC_GROUP</t>
  </si>
  <si>
    <t>民族</t>
    <rPh sb="0" eb="2">
      <t>ミンゾク</t>
    </rPh>
    <phoneticPr fontId="4"/>
  </si>
  <si>
    <t>HspPatientIdentificationのETHNIC_GROUPの値を設定する。</t>
  </si>
  <si>
    <t>PID-22</t>
    <phoneticPr fontId="4"/>
  </si>
  <si>
    <t>PID.22.1</t>
    <phoneticPr fontId="4"/>
  </si>
  <si>
    <t>ethnicity_source_value</t>
  </si>
  <si>
    <t>OMOP連携用、現時点では使用しない
【OMOP】
"Hispanic or Latino" or "Not Hispanic or Latino"</t>
    <phoneticPr fontId="4"/>
  </si>
  <si>
    <t>HspPatientIdentificationのDATA_UPDATE_DATEの値を設定する。</t>
  </si>
  <si>
    <t>HspPatientIdentificationのTS_TABLE_UPDATEの値を設定する。</t>
  </si>
  <si>
    <t>PatientAddress（臨中ネット患者住所データテーブル）</t>
    <rPh sb="20" eb="24">
      <t>カンジャジュウショ</t>
    </rPh>
    <phoneticPr fontId="4"/>
  </si>
  <si>
    <t>患者の自宅住所の郵便番号の履歴を管理する。病院オリジナル患者住所テーブルの値を引用し、そのまま記録または標準コードに変換して記録することとする。</t>
    <rPh sb="3" eb="5">
      <t>ジタク</t>
    </rPh>
    <rPh sb="5" eb="7">
      <t>ジュウショ</t>
    </rPh>
    <rPh sb="8" eb="12">
      <t>ユウビンバンゴウ</t>
    </rPh>
    <rPh sb="13" eb="15">
      <t>リレキ</t>
    </rPh>
    <rPh sb="16" eb="18">
      <t>カンリ</t>
    </rPh>
    <rPh sb="30" eb="32">
      <t>ジュウショ</t>
    </rPh>
    <phoneticPr fontId="4"/>
  </si>
  <si>
    <t>病院情報システムで患者住所の履歴を管理していない場合は、開始日を「00000000」、終了日を「99999999」とし、最新履歴のみを記録する。</t>
    <rPh sb="0" eb="4">
      <t>ビョウインジョウホウ</t>
    </rPh>
    <rPh sb="9" eb="13">
      <t>カンジャジュウショ</t>
    </rPh>
    <rPh sb="14" eb="16">
      <t>リレキ</t>
    </rPh>
    <rPh sb="17" eb="19">
      <t>カンリ</t>
    </rPh>
    <rPh sb="24" eb="26">
      <t>バアイ</t>
    </rPh>
    <rPh sb="28" eb="31">
      <t>カイシビ</t>
    </rPh>
    <rPh sb="43" eb="46">
      <t>シュウリョウビ</t>
    </rPh>
    <rPh sb="60" eb="62">
      <t>サイシン</t>
    </rPh>
    <rPh sb="62" eb="64">
      <t>リレキ</t>
    </rPh>
    <rPh sb="67" eb="69">
      <t>キロク</t>
    </rPh>
    <phoneticPr fontId="4"/>
  </si>
  <si>
    <t>PA_UNIQUE_ID</t>
    <phoneticPr fontId="5"/>
  </si>
  <si>
    <t>ユニークID</t>
  </si>
  <si>
    <t>HspPatientAddressのPA_UNIQUE_IDの値を設定する。</t>
    <phoneticPr fontId="5"/>
  </si>
  <si>
    <t>I</t>
    <phoneticPr fontId="5"/>
  </si>
  <si>
    <t>PatientIDExchangeによりHspPatientAddressのPATIENT_IDに対応する検索用患者IDを設定する。</t>
    <rPh sb="49" eb="51">
      <t>タイオウ</t>
    </rPh>
    <rPh sb="61" eb="63">
      <t>セッテイ</t>
    </rPh>
    <phoneticPr fontId="4"/>
  </si>
  <si>
    <t>PA_START_DATE</t>
    <phoneticPr fontId="4"/>
  </si>
  <si>
    <t>住所開始日</t>
    <rPh sb="0" eb="2">
      <t>ジュウショ</t>
    </rPh>
    <rPh sb="2" eb="5">
      <t>カイシビ</t>
    </rPh>
    <phoneticPr fontId="4"/>
  </si>
  <si>
    <t>HspPatientAddressのPA_START_DATEの値を設定する。</t>
  </si>
  <si>
    <t>00010101</t>
    <phoneticPr fontId="4"/>
  </si>
  <si>
    <t>「YYYYMMDD」形式
履歴管理をしていない場合は「00000000」とする</t>
    <rPh sb="13" eb="17">
      <t>リレキカンリ</t>
    </rPh>
    <rPh sb="23" eb="25">
      <t>バアイ</t>
    </rPh>
    <phoneticPr fontId="4"/>
  </si>
  <si>
    <t>PA_END_DATE</t>
    <phoneticPr fontId="4"/>
  </si>
  <si>
    <t>住所終了日</t>
    <rPh sb="0" eb="2">
      <t>ジュウショ</t>
    </rPh>
    <rPh sb="2" eb="5">
      <t>シュウリョウビ</t>
    </rPh>
    <phoneticPr fontId="4"/>
  </si>
  <si>
    <t>HspPatientAddressのPA_END_DATEの値を設定する。</t>
  </si>
  <si>
    <t>99991231</t>
    <phoneticPr fontId="4"/>
  </si>
  <si>
    <t>ー</t>
    <phoneticPr fontId="4"/>
  </si>
  <si>
    <t>「YYYYMMDD」形式
履歴管理をしていない場合は「99999999」とする</t>
    <phoneticPr fontId="4"/>
  </si>
  <si>
    <t>POSTAL_CD</t>
    <phoneticPr fontId="5"/>
  </si>
  <si>
    <t>郵便番号</t>
    <rPh sb="0" eb="4">
      <t>ユウビンバンゴウ</t>
    </rPh>
    <phoneticPr fontId="4"/>
  </si>
  <si>
    <t>HspPatientAddressのPOSTAL_CDの値を設定する。</t>
  </si>
  <si>
    <t>0000000</t>
    <phoneticPr fontId="4"/>
  </si>
  <si>
    <t>PID-11</t>
    <phoneticPr fontId="4"/>
  </si>
  <si>
    <t>PID.11.5</t>
    <phoneticPr fontId="4"/>
  </si>
  <si>
    <t>O</t>
  </si>
  <si>
    <t>HspPatientAddressのDATA_UPDATE_DATEの値を設定する。</t>
  </si>
  <si>
    <t>HspPatientAddressのTS_TABLE_UPDATEの値を設定する。</t>
  </si>
  <si>
    <t>PatientVisit（臨中ネット患者来院履歴テーブル）</t>
    <rPh sb="13" eb="15">
      <t>リンチュウ</t>
    </rPh>
    <rPh sb="18" eb="20">
      <t>カンジャ</t>
    </rPh>
    <rPh sb="20" eb="22">
      <t>ライイン</t>
    </rPh>
    <rPh sb="22" eb="24">
      <t>リレキ</t>
    </rPh>
    <phoneticPr fontId="4"/>
  </si>
  <si>
    <t>患者の外来履歴、入院履歴情報についての情報を提供する。データはすべて抽出元（SS-MIX2、HISなど）の情報をそのまま記録する。</t>
    <rPh sb="3" eb="5">
      <t>ガイライ</t>
    </rPh>
    <rPh sb="5" eb="7">
      <t>リレキ</t>
    </rPh>
    <rPh sb="8" eb="10">
      <t>ニュウイン</t>
    </rPh>
    <rPh sb="10" eb="12">
      <t>リレキ</t>
    </rPh>
    <rPh sb="12" eb="14">
      <t>ジョウホウ</t>
    </rPh>
    <phoneticPr fontId="4"/>
  </si>
  <si>
    <t>最終履歴のみを記録する。実施情報のみを記録し、予定情報は記録しない。</t>
    <rPh sb="0" eb="4">
      <t>サイシュウリレキ</t>
    </rPh>
    <rPh sb="7" eb="9">
      <t>キロク</t>
    </rPh>
    <rPh sb="12" eb="16">
      <t>ジッシジョウホウ</t>
    </rPh>
    <rPh sb="19" eb="21">
      <t>キロク</t>
    </rPh>
    <rPh sb="23" eb="27">
      <t>ヨテイジョウホウ</t>
    </rPh>
    <rPh sb="28" eb="30">
      <t>キロク</t>
    </rPh>
    <phoneticPr fontId="4"/>
  </si>
  <si>
    <t>PV_UNIQUE_ID</t>
    <phoneticPr fontId="5"/>
  </si>
  <si>
    <t>HspPatientVisitのPV_UNIQUE_IDの値を設定する。</t>
    <phoneticPr fontId="4"/>
  </si>
  <si>
    <t>PatientIDExchangeによりHspPatientVisitのPATIENT_IDに対応する検索用患者IDを設定する。</t>
    <rPh sb="43" eb="45">
      <t>タイオウ</t>
    </rPh>
    <rPh sb="55" eb="57">
      <t>セッテイ</t>
    </rPh>
    <phoneticPr fontId="4"/>
  </si>
  <si>
    <t>PV_ADTSEGMENT</t>
    <phoneticPr fontId="4"/>
  </si>
  <si>
    <t>ADTセグメント</t>
    <phoneticPr fontId="4"/>
  </si>
  <si>
    <t>HspPatientVisitのPV_ADTSEGMENTの値を対応するMSH-9の第三成分までの値に変換する。</t>
    <rPh sb="32" eb="34">
      <t>タイオウ</t>
    </rPh>
    <rPh sb="49" eb="50">
      <t>アタイ</t>
    </rPh>
    <phoneticPr fontId="4"/>
  </si>
  <si>
    <t>TEXT</t>
  </si>
  <si>
    <t>MSH-9</t>
    <phoneticPr fontId="4"/>
  </si>
  <si>
    <t>MSH.9.1
MSH.9.2
MSH.9.3</t>
    <phoneticPr fontId="4"/>
  </si>
  <si>
    <t>visit_source_value</t>
  </si>
  <si>
    <t>【記録対象】
外来診察の受付：ADT^A04^ADT_A01
入院実施：ADT^A01^ADT_A01
転科・転棟実施：ADT^A02^ADT_A02
外出泊実施：ADT^A21^ADT_A21
外出泊帰院実施：ADT^A22^ADT_A21
退院実施 ：ADT^A03^ADT_A03</t>
    <rPh sb="1" eb="3">
      <t>キロク</t>
    </rPh>
    <rPh sb="3" eb="5">
      <t>タイショウ</t>
    </rPh>
    <phoneticPr fontId="4"/>
  </si>
  <si>
    <t>DEPT_CD_S</t>
    <phoneticPr fontId="4"/>
  </si>
  <si>
    <t>標準診療科コード</t>
    <rPh sb="0" eb="2">
      <t>ヒョウジュン</t>
    </rPh>
    <rPh sb="2" eb="5">
      <t>シンリョウカ</t>
    </rPh>
    <phoneticPr fontId="4"/>
  </si>
  <si>
    <t>HspPatientVisitのDEPT_CD_Lの値を「SS-MIX2 統一診療科コード表 V1.0」に定義されているコードに変換する。</t>
    <phoneticPr fontId="4"/>
  </si>
  <si>
    <t>「SS-MIX2 統一診療科コード表 V1.0」を参照</t>
    <rPh sb="25" eb="27">
      <t>サンショウ</t>
    </rPh>
    <phoneticPr fontId="4"/>
  </si>
  <si>
    <t>DEPT_CD_L</t>
    <phoneticPr fontId="4"/>
  </si>
  <si>
    <t>ローカル診療科コード</t>
    <rPh sb="4" eb="7">
      <t>シンリョウカ</t>
    </rPh>
    <phoneticPr fontId="4"/>
  </si>
  <si>
    <t>HspPatientVisitのDEPT_CD_Lの値を設定する。</t>
    <phoneticPr fontId="4"/>
  </si>
  <si>
    <t>PV1-10</t>
    <phoneticPr fontId="4"/>
  </si>
  <si>
    <t>PV1.10</t>
    <phoneticPr fontId="4"/>
  </si>
  <si>
    <t>C</t>
  </si>
  <si>
    <t>PV_ADMIT_DATE</t>
    <phoneticPr fontId="4"/>
  </si>
  <si>
    <t>外来受診入院実施日</t>
    <rPh sb="0" eb="2">
      <t>ガイライ</t>
    </rPh>
    <rPh sb="2" eb="4">
      <t>ジュシン</t>
    </rPh>
    <rPh sb="4" eb="6">
      <t>ニュウイン</t>
    </rPh>
    <rPh sb="6" eb="8">
      <t>ジッシ</t>
    </rPh>
    <rPh sb="8" eb="9">
      <t>ビ</t>
    </rPh>
    <phoneticPr fontId="4"/>
  </si>
  <si>
    <t>HspPatientVisitのPV_ADMIT_DATEの値を設定する。</t>
  </si>
  <si>
    <t>PV1-44</t>
    <phoneticPr fontId="4"/>
  </si>
  <si>
    <t>PV1.44.1</t>
  </si>
  <si>
    <t>visit_start_date
visit_start_datetime</t>
    <phoneticPr fontId="4"/>
  </si>
  <si>
    <t>PV_ADMIT_TIME</t>
    <phoneticPr fontId="4"/>
  </si>
  <si>
    <t>外来受診入院実施時刻</t>
    <rPh sb="0" eb="2">
      <t>ガイライ</t>
    </rPh>
    <rPh sb="2" eb="4">
      <t>ジュシン</t>
    </rPh>
    <rPh sb="4" eb="6">
      <t>ニュウイン</t>
    </rPh>
    <rPh sb="6" eb="8">
      <t>ジッシ</t>
    </rPh>
    <rPh sb="8" eb="10">
      <t>ジコク</t>
    </rPh>
    <phoneticPr fontId="4"/>
  </si>
  <si>
    <t>HspPatientVisitのPV_ADMIT_TIMEの値を設定する。</t>
  </si>
  <si>
    <t>visit_start_datetime</t>
  </si>
  <si>
    <t>「HHMMSS」形式</t>
    <phoneticPr fontId="4"/>
  </si>
  <si>
    <t>PV_DISCHARGE_DATE</t>
    <phoneticPr fontId="4"/>
  </si>
  <si>
    <t>退院実施日</t>
    <rPh sb="0" eb="2">
      <t>タイイン</t>
    </rPh>
    <rPh sb="2" eb="5">
      <t>ジッシビ</t>
    </rPh>
    <phoneticPr fontId="4"/>
  </si>
  <si>
    <t>HspPatientVisitのPV_DISCHARGE_DATEの値を設定する。</t>
  </si>
  <si>
    <t>PV1-45</t>
  </si>
  <si>
    <t>PV1.45.1</t>
    <phoneticPr fontId="4"/>
  </si>
  <si>
    <t>visit_end_date
visit_end_datetime
death_date
death_datetime</t>
    <phoneticPr fontId="4"/>
  </si>
  <si>
    <t>PV_DISCHARGE_TIME</t>
    <phoneticPr fontId="4"/>
  </si>
  <si>
    <t>退院実施時刻</t>
    <rPh sb="0" eb="2">
      <t>タイイン</t>
    </rPh>
    <rPh sb="2" eb="4">
      <t>ジッシ</t>
    </rPh>
    <rPh sb="4" eb="6">
      <t>ジコク</t>
    </rPh>
    <phoneticPr fontId="4"/>
  </si>
  <si>
    <t>HspPatientVisitのPV_DISCHARGE_TIMEの値を設定する。</t>
  </si>
  <si>
    <t>visit_end_datetime
death_datetime</t>
    <phoneticPr fontId="4"/>
  </si>
  <si>
    <t>PV_DISCHARGE_CD_L</t>
    <phoneticPr fontId="4"/>
  </si>
  <si>
    <t>退院区分</t>
    <rPh sb="0" eb="2">
      <t>タイイン</t>
    </rPh>
    <rPh sb="2" eb="4">
      <t>クブン</t>
    </rPh>
    <phoneticPr fontId="4"/>
  </si>
  <si>
    <t>HspPatientVisitのPV_DISCHARGE_CD_Lの値を使用者定義表「0112-退院区分」に定義されているコードに変換する。</t>
  </si>
  <si>
    <t>PV1-36</t>
    <phoneticPr fontId="4"/>
  </si>
  <si>
    <t>PV1.36</t>
    <phoneticPr fontId="4"/>
  </si>
  <si>
    <t>discharged_to_source_value
cause_source_value</t>
    <phoneticPr fontId="4"/>
  </si>
  <si>
    <t>【参考】
使用者定義表-#0112 退院配置
01： 自宅または自己介護施設へ退院（通常退院）
20： 終了（死亡）
など</t>
    <rPh sb="1" eb="3">
      <t>サンコウ</t>
    </rPh>
    <phoneticPr fontId="4"/>
  </si>
  <si>
    <t>PV_EVENT_OCCURRED_DATE</t>
    <phoneticPr fontId="4"/>
  </si>
  <si>
    <t>イベント発生日</t>
    <rPh sb="4" eb="7">
      <t>ハッセイビ</t>
    </rPh>
    <rPh sb="6" eb="7">
      <t>ビ</t>
    </rPh>
    <phoneticPr fontId="4"/>
  </si>
  <si>
    <t>HspPatientVisitのPV_EVENT_OCCURRED_DATEの値を設定する。</t>
  </si>
  <si>
    <t>EVN-6</t>
    <phoneticPr fontId="4"/>
  </si>
  <si>
    <t>EVN.6.1</t>
    <phoneticPr fontId="4"/>
  </si>
  <si>
    <t>PV_EVENT_OCCURRED_TIME</t>
    <phoneticPr fontId="4"/>
  </si>
  <si>
    <t>イベント発生時刻</t>
    <rPh sb="4" eb="6">
      <t>ハッセイ</t>
    </rPh>
    <rPh sb="6" eb="8">
      <t>ジコク</t>
    </rPh>
    <phoneticPr fontId="4"/>
  </si>
  <si>
    <t>HspPatientVisitのPV_EVENT_OCCURRED_TIMEの値を設定する。</t>
  </si>
  <si>
    <t>PV_DATETIME</t>
    <phoneticPr fontId="4"/>
  </si>
  <si>
    <t>患者履歴日時</t>
    <rPh sb="0" eb="2">
      <t>カンジャ</t>
    </rPh>
    <rPh sb="2" eb="4">
      <t>リレキ</t>
    </rPh>
    <rPh sb="4" eb="6">
      <t>ニチジ</t>
    </rPh>
    <phoneticPr fontId="4"/>
  </si>
  <si>
    <t>HspPatientVisitのPV_DATETIMEの値を設定する。</t>
    <phoneticPr fontId="4"/>
  </si>
  <si>
    <t>SCH_PV_ADMIT_DATE</t>
    <phoneticPr fontId="4"/>
  </si>
  <si>
    <t>外来受診入院実施日（日付型）</t>
    <rPh sb="0" eb="2">
      <t>ガイライ</t>
    </rPh>
    <rPh sb="2" eb="4">
      <t>ジュシン</t>
    </rPh>
    <rPh sb="4" eb="6">
      <t>ニュウイン</t>
    </rPh>
    <rPh sb="6" eb="8">
      <t>ジッシ</t>
    </rPh>
    <rPh sb="8" eb="9">
      <t>ビ</t>
    </rPh>
    <phoneticPr fontId="4"/>
  </si>
  <si>
    <t>HspPatientVisitのSCH_PV_ADMIT_DATEの値を設定する。</t>
  </si>
  <si>
    <t>SCH_PV_DISCHARGE_DATE</t>
    <phoneticPr fontId="4"/>
  </si>
  <si>
    <t>退院実施日（日付型）</t>
    <rPh sb="0" eb="2">
      <t>タイイン</t>
    </rPh>
    <rPh sb="2" eb="5">
      <t>ジッシビ</t>
    </rPh>
    <phoneticPr fontId="4"/>
  </si>
  <si>
    <t>HspPatientVisitのSCH_PV_DISCHARGE_DATEの値を設定する。</t>
  </si>
  <si>
    <t>SCH_PV_EVENT_OCCURRED_DATE</t>
    <phoneticPr fontId="4"/>
  </si>
  <si>
    <t>イベント発生日（日付型）</t>
    <rPh sb="4" eb="7">
      <t>ハッセイビ</t>
    </rPh>
    <rPh sb="6" eb="7">
      <t>ビ</t>
    </rPh>
    <phoneticPr fontId="4"/>
  </si>
  <si>
    <t>HspPatientVisitのSCH_PV_EVENT_OCCURRED_DATEの値を設定する。</t>
  </si>
  <si>
    <t>PV_ADMIT_AGE</t>
    <phoneticPr fontId="4"/>
  </si>
  <si>
    <t>受診日年齢</t>
    <rPh sb="0" eb="2">
      <t>ジュシン</t>
    </rPh>
    <rPh sb="2" eb="3">
      <t>ヒ</t>
    </rPh>
    <rPh sb="3" eb="5">
      <t>ネンレイ</t>
    </rPh>
    <phoneticPr fontId="4"/>
  </si>
  <si>
    <t>HspPatientVisitのPV_ADMIT_AGEの値を設定する。</t>
  </si>
  <si>
    <t>INT</t>
    <phoneticPr fontId="4"/>
  </si>
  <si>
    <t>－1</t>
    <phoneticPr fontId="4"/>
  </si>
  <si>
    <t>外来受診日または入院日が2023/4/1で、
生年月日が1950/1/1の場合は「73」
生年月日が2023/1/1の場合は「0」</t>
    <rPh sb="37" eb="39">
      <t>バアイ</t>
    </rPh>
    <rPh sb="59" eb="61">
      <t>バアイ</t>
    </rPh>
    <phoneticPr fontId="4"/>
  </si>
  <si>
    <t>PV_ADMIT_MONTHS</t>
    <phoneticPr fontId="4"/>
  </si>
  <si>
    <t>HspPatientVisitのPV_ADMIT_MONTHSの値を設定する。</t>
  </si>
  <si>
    <t>外来受診日または入院日が2023/4/1で、
生年月日が1950/1/1の場合は「879」
生年月日が2023/1/1の場合は「3」
外来受診日または入院日時点が2歳未満の場合は必須とする</t>
    <rPh sb="23" eb="25">
      <t>セイネン</t>
    </rPh>
    <rPh sb="25" eb="27">
      <t>ガッピ</t>
    </rPh>
    <rPh sb="37" eb="39">
      <t>バアイ</t>
    </rPh>
    <rPh sb="46" eb="48">
      <t>セイネン</t>
    </rPh>
    <rPh sb="48" eb="50">
      <t>ガッピ</t>
    </rPh>
    <rPh sb="60" eb="62">
      <t>バアイ</t>
    </rPh>
    <rPh sb="78" eb="80">
      <t>ジテン</t>
    </rPh>
    <rPh sb="82" eb="85">
      <t>サイミマン</t>
    </rPh>
    <rPh sb="86" eb="88">
      <t>バアイ</t>
    </rPh>
    <rPh sb="89" eb="91">
      <t>ヒッス</t>
    </rPh>
    <phoneticPr fontId="4"/>
  </si>
  <si>
    <t>PV_ADMIT_DAYS</t>
    <phoneticPr fontId="4"/>
  </si>
  <si>
    <t>HspPatientVisitのPV_ADMIT_DAYSの値を設定する。</t>
  </si>
  <si>
    <t>外来受診日または入院日が2023/4/1で、
生年月日が1950/1/1の場合は「26735」
生年月日が2023/1/1の場合は「90」
外来受診日または入院日時点で生後90日未満の場合は必須とする</t>
    <rPh sb="23" eb="25">
      <t>セイネン</t>
    </rPh>
    <rPh sb="25" eb="27">
      <t>ガッピ</t>
    </rPh>
    <rPh sb="37" eb="39">
      <t>バアイ</t>
    </rPh>
    <rPh sb="48" eb="50">
      <t>セイネン</t>
    </rPh>
    <rPh sb="50" eb="52">
      <t>ガッピ</t>
    </rPh>
    <rPh sb="62" eb="64">
      <t>バアイ</t>
    </rPh>
    <rPh sb="81" eb="83">
      <t>ジテン</t>
    </rPh>
    <rPh sb="84" eb="86">
      <t>セイゴ</t>
    </rPh>
    <rPh sb="88" eb="89">
      <t>ニチ</t>
    </rPh>
    <rPh sb="89" eb="91">
      <t>ミマン</t>
    </rPh>
    <rPh sb="92" eb="94">
      <t>バアイ</t>
    </rPh>
    <rPh sb="95" eb="97">
      <t>ヒッス</t>
    </rPh>
    <phoneticPr fontId="4"/>
  </si>
  <si>
    <t>HspPatientVisitのDATA_UPDATE_DATEの値を設定する。</t>
  </si>
  <si>
    <t>EVN-2</t>
    <phoneticPr fontId="4"/>
  </si>
  <si>
    <t>EVN.2.1</t>
    <phoneticPr fontId="4"/>
  </si>
  <si>
    <t>HspPatientVisitのTS_TABLE_UPDATEの値を設定する。</t>
  </si>
  <si>
    <t>PatientDisease（臨中ネット患者病名データテーブル）</t>
    <rPh sb="20" eb="22">
      <t>カンジャ</t>
    </rPh>
    <rPh sb="22" eb="24">
      <t>ビョウメイ</t>
    </rPh>
    <phoneticPr fontId="4"/>
  </si>
  <si>
    <t>患者の病名情報についての情報を提供する。病院オリジナル患者病名テーブルの値を引用し、そのまま記録または標準コードに変換して記録することとする。</t>
    <rPh sb="3" eb="5">
      <t>ビョウメイ</t>
    </rPh>
    <rPh sb="29" eb="31">
      <t>ビョウメイ</t>
    </rPh>
    <phoneticPr fontId="4"/>
  </si>
  <si>
    <t>最終履歴のみを記録する。</t>
    <rPh sb="0" eb="4">
      <t>サイシュウリレキ</t>
    </rPh>
    <rPh sb="7" eb="9">
      <t>キロク</t>
    </rPh>
    <phoneticPr fontId="4"/>
  </si>
  <si>
    <t>HspPatientDisease（病院オリジナル患者病名テーブル）で個別に取消されるレコードを除外する。DIS_ACTION_CDが「DE」のものは抽出対象外とする。</t>
    <rPh sb="35" eb="37">
      <t>コベツ</t>
    </rPh>
    <rPh sb="38" eb="40">
      <t>トリケシ</t>
    </rPh>
    <rPh sb="48" eb="50">
      <t>ジョガイ</t>
    </rPh>
    <rPh sb="75" eb="77">
      <t>チュウシュツ</t>
    </rPh>
    <rPh sb="77" eb="80">
      <t>タイショウガイ</t>
    </rPh>
    <phoneticPr fontId="4"/>
  </si>
  <si>
    <t>DIS_UNIQUE_ID</t>
    <phoneticPr fontId="5"/>
  </si>
  <si>
    <t>HspPatientDiseaseのDIS_UNIQUE_IDの値を設定する。</t>
    <phoneticPr fontId="4"/>
  </si>
  <si>
    <t>PatientIDExchangeによりHspPatientDiseaseのPATIENT_IDに対応する検索用患者IDを設定する。</t>
    <rPh sb="49" eb="51">
      <t>タイオウ</t>
    </rPh>
    <rPh sb="61" eb="63">
      <t>セッテイ</t>
    </rPh>
    <phoneticPr fontId="4"/>
  </si>
  <si>
    <t>HspPatientDiseaseのDEPT_CD_Lの値を「SS-MIX2 統一診療科コード表 V1.0」に定義されているコードに変換する。</t>
    <phoneticPr fontId="4"/>
  </si>
  <si>
    <t>ORC-17</t>
    <phoneticPr fontId="4"/>
  </si>
  <si>
    <t>ORC.17.1　または　ORC.17.4</t>
  </si>
  <si>
    <t>HspPatientDiseaseのDEPT_CD_Lの値を設定する。</t>
    <phoneticPr fontId="4"/>
  </si>
  <si>
    <t>DEPT_NAME_L</t>
    <phoneticPr fontId="4"/>
  </si>
  <si>
    <t>ローカル診療科名称</t>
    <rPh sb="4" eb="7">
      <t>シンリョウカ</t>
    </rPh>
    <rPh sb="7" eb="9">
      <t>メイショウ</t>
    </rPh>
    <phoneticPr fontId="4"/>
  </si>
  <si>
    <t>HspPatientDiseaseのDEPT_NAME_Lの値を設定する。</t>
  </si>
  <si>
    <t>ORC.17.2　または　ORC.17.5</t>
  </si>
  <si>
    <t>DIS_INSTANCE_ID</t>
    <phoneticPr fontId="4"/>
  </si>
  <si>
    <t>病名インスタンスID</t>
    <rPh sb="0" eb="2">
      <t>ビョウメイ</t>
    </rPh>
    <phoneticPr fontId="4"/>
  </si>
  <si>
    <t>HspPatientDiseaseのDIS_INSTANCE_IDの値を設定する。</t>
  </si>
  <si>
    <t>PRB-4</t>
    <phoneticPr fontId="4"/>
  </si>
  <si>
    <t>PRB.4.1</t>
  </si>
  <si>
    <t>DIS_MANAGEMENT_CD</t>
  </si>
  <si>
    <t>病名管理番号</t>
    <rPh sb="0" eb="2">
      <t>ビョウメイ</t>
    </rPh>
    <rPh sb="2" eb="4">
      <t>カンリ</t>
    </rPh>
    <rPh sb="4" eb="6">
      <t>バンゴウ</t>
    </rPh>
    <phoneticPr fontId="4"/>
  </si>
  <si>
    <t>HspPatientDiseaseのDIS_MANAGEMENT_CDの値を設定する。</t>
  </si>
  <si>
    <t>ZPR-2</t>
    <phoneticPr fontId="4"/>
  </si>
  <si>
    <t>ZPR.2.1</t>
  </si>
  <si>
    <t>DIS_EXCHANGE_CD</t>
  </si>
  <si>
    <t>病名交換用コード</t>
    <rPh sb="0" eb="2">
      <t>ビョウメイ</t>
    </rPh>
    <rPh sb="2" eb="5">
      <t>コウカンヨウ</t>
    </rPh>
    <phoneticPr fontId="4"/>
  </si>
  <si>
    <t>HspPatientDiseaseのDIS_EXCHANGE_CDの値を設定する。</t>
  </si>
  <si>
    <t>ZPR-5</t>
    <phoneticPr fontId="4"/>
  </si>
  <si>
    <t>ZPR.5.1</t>
    <phoneticPr fontId="4"/>
  </si>
  <si>
    <t>ICD10_CD</t>
    <phoneticPr fontId="4"/>
  </si>
  <si>
    <t>ICD10コード</t>
    <phoneticPr fontId="3"/>
  </si>
  <si>
    <t>HspPatientDiseaseのICD10_CDの値を設定する。</t>
  </si>
  <si>
    <t>PRB-10</t>
  </si>
  <si>
    <t>PRB.10.1</t>
  </si>
  <si>
    <t>condition_source_value</t>
  </si>
  <si>
    <t>【OMOP'】
ICD10 Vocabulary をCONDITION_SOURCE_CONCEPT_ID で検索。対象の concept_code が ICD10 コードとなる。</t>
    <phoneticPr fontId="4"/>
  </si>
  <si>
    <t>DIS_CD</t>
    <phoneticPr fontId="4"/>
  </si>
  <si>
    <t>病名コード</t>
    <phoneticPr fontId="3"/>
  </si>
  <si>
    <t>HspPatientDiseaseのDIS_CDの値を設定する。</t>
  </si>
  <si>
    <t>VARCHAR(32)</t>
    <phoneticPr fontId="4"/>
  </si>
  <si>
    <t>PRB-3</t>
  </si>
  <si>
    <t>PRB.3.1</t>
  </si>
  <si>
    <t>【OMOP】
CONDITION_SOURCE_VALUE にハウスコードが含まれる</t>
    <phoneticPr fontId="4"/>
  </si>
  <si>
    <t>DIS_NAME</t>
    <phoneticPr fontId="4"/>
  </si>
  <si>
    <t>病名表記</t>
    <rPh sb="0" eb="2">
      <t>ビョウメイ</t>
    </rPh>
    <rPh sb="2" eb="4">
      <t>ヒョウキ</t>
    </rPh>
    <phoneticPr fontId="3"/>
  </si>
  <si>
    <t>HspPatientDiseaseのDIS_NAMEの値を設定する。</t>
  </si>
  <si>
    <t>PRB-17</t>
  </si>
  <si>
    <t>PRB.17</t>
  </si>
  <si>
    <t>DIS_PREFIX_CD</t>
  </si>
  <si>
    <t>修飾語管理番号_接頭語</t>
    <rPh sb="0" eb="3">
      <t>シュウショクゴ</t>
    </rPh>
    <rPh sb="3" eb="7">
      <t>カンリバンゴウ</t>
    </rPh>
    <rPh sb="8" eb="11">
      <t>セットウゴ</t>
    </rPh>
    <phoneticPr fontId="3"/>
  </si>
  <si>
    <t>HspPatientDiseaseのDIS_PREFIX_CDの値を設定する。</t>
  </si>
  <si>
    <t>ZPR-1</t>
    <phoneticPr fontId="4"/>
  </si>
  <si>
    <t>ZPR.1.1</t>
  </si>
  <si>
    <t>DIS_SUFFIX_CD</t>
  </si>
  <si>
    <t>修飾語管理番号_接尾語</t>
    <rPh sb="0" eb="3">
      <t>シュウショクゴ</t>
    </rPh>
    <rPh sb="3" eb="7">
      <t>カンリバンゴウ</t>
    </rPh>
    <rPh sb="8" eb="11">
      <t>セツビゴ</t>
    </rPh>
    <phoneticPr fontId="3"/>
  </si>
  <si>
    <t>HspPatientDiseaseのDIS_SUFFIX_CDの値を設定する。</t>
  </si>
  <si>
    <t>ZPR-3</t>
    <phoneticPr fontId="4"/>
  </si>
  <si>
    <t>ZPR.3.1</t>
  </si>
  <si>
    <t>DIS_START_DATE</t>
    <phoneticPr fontId="4"/>
  </si>
  <si>
    <t>病名開始日</t>
    <rPh sb="0" eb="2">
      <t>ビョウメイ</t>
    </rPh>
    <rPh sb="2" eb="5">
      <t>カイシビ</t>
    </rPh>
    <phoneticPr fontId="3"/>
  </si>
  <si>
    <t>HspPatientDiseaseのDIS_START_DATEの値を設定する。</t>
  </si>
  <si>
    <t>PRB-16</t>
  </si>
  <si>
    <t>PRB.16.1</t>
    <phoneticPr fontId="4"/>
  </si>
  <si>
    <t>condition_start_date</t>
  </si>
  <si>
    <t>DIS_ESTABLISHED_DATE</t>
    <phoneticPr fontId="4"/>
  </si>
  <si>
    <t>診断日</t>
    <rPh sb="0" eb="3">
      <t>シンダンビ</t>
    </rPh>
    <phoneticPr fontId="4"/>
  </si>
  <si>
    <t>HspPatientDiseaseのDIS_ESTABLISHED_DATEの値を設定する。</t>
  </si>
  <si>
    <t>PRB-7</t>
    <phoneticPr fontId="4"/>
  </si>
  <si>
    <t>PRB.7.1</t>
    <phoneticPr fontId="4"/>
  </si>
  <si>
    <t>DIS_END_DATE</t>
    <phoneticPr fontId="4"/>
  </si>
  <si>
    <t>病名終了日</t>
    <rPh sb="0" eb="2">
      <t>ビョウメイ</t>
    </rPh>
    <rPh sb="2" eb="5">
      <t>シュウリョウビ</t>
    </rPh>
    <phoneticPr fontId="3"/>
  </si>
  <si>
    <t>HspPatientDiseaseのDIS_END_DATEの値を設定する。</t>
  </si>
  <si>
    <t>PRB-9</t>
  </si>
  <si>
    <t>PRB.9.1</t>
    <phoneticPr fontId="4"/>
  </si>
  <si>
    <t>condition_end_date</t>
  </si>
  <si>
    <t>DIS_OUTCOME_DATE</t>
    <phoneticPr fontId="4"/>
  </si>
  <si>
    <t>転帰日</t>
    <rPh sb="0" eb="3">
      <t>テンキビ</t>
    </rPh>
    <phoneticPr fontId="4"/>
  </si>
  <si>
    <t>HspPatientDiseaseのDIS_OUTCOME_DATEの値を設定する。</t>
  </si>
  <si>
    <t>PRB-15</t>
    <phoneticPr fontId="4"/>
  </si>
  <si>
    <t>PRB.15.1</t>
    <phoneticPr fontId="4"/>
  </si>
  <si>
    <t>SCH_DIS_START_DATE</t>
    <phoneticPr fontId="4"/>
  </si>
  <si>
    <t>病名開始日（日付型）</t>
    <phoneticPr fontId="4"/>
  </si>
  <si>
    <t>HspPatientDiseaseのSCH_DIS_START_DATEの値を設定する。</t>
  </si>
  <si>
    <t>0001-12-31</t>
    <phoneticPr fontId="4"/>
  </si>
  <si>
    <t>SCH_DIS_ESTABLISHED_DATE</t>
    <phoneticPr fontId="4"/>
  </si>
  <si>
    <t>診断日（日付型）</t>
    <rPh sb="0" eb="2">
      <t>シンダン</t>
    </rPh>
    <phoneticPr fontId="4"/>
  </si>
  <si>
    <t>HspPatientDiseaseのSCH_DIS_ESTABLISHED_DATEの値を設定する。</t>
  </si>
  <si>
    <t>SCH_DIS_END_DATE</t>
    <phoneticPr fontId="4"/>
  </si>
  <si>
    <t>病名終了日（日付型）</t>
    <phoneticPr fontId="4"/>
  </si>
  <si>
    <t>HspPatientDiseaseのSCH_DIS_END_DATEの値を設定する。</t>
  </si>
  <si>
    <t>SCH_DIS_OUTCOME_DATE</t>
    <phoneticPr fontId="4"/>
  </si>
  <si>
    <t>転帰日（日付型）</t>
    <rPh sb="0" eb="2">
      <t>テンキ</t>
    </rPh>
    <phoneticPr fontId="4"/>
  </si>
  <si>
    <t>HspPatientDiseaseのSCH_DIS_OUTCOME_DATEの値を設定する。</t>
  </si>
  <si>
    <t>DIS_OUTCOME_CD</t>
    <phoneticPr fontId="4"/>
  </si>
  <si>
    <t>転帰</t>
    <rPh sb="0" eb="2">
      <t>テンキ</t>
    </rPh>
    <phoneticPr fontId="3"/>
  </si>
  <si>
    <t>HspPatientDiseaseのDIS_OUTCOME_CDの値をHL7表「0241-患者の結果」または「JHSD 表 0006-転帰区分」に定義されているコードに変換する。</t>
  </si>
  <si>
    <t>PRB-14</t>
  </si>
  <si>
    <t>PRB.14.1</t>
    <phoneticPr fontId="4"/>
  </si>
  <si>
    <t>stop_reason</t>
  </si>
  <si>
    <t>【参考】
HL7表「0241-患者の結果」
D：死亡
R：回復
N：回復せず／変わらない
W：悪化
S：後遺症
F：完全に回復した
U：未知
「JHSD 表 0006-転帰区分」
I：中止
M：寛解
C：継続
O：その他</t>
    <rPh sb="24" eb="26">
      <t>シボウ</t>
    </rPh>
    <rPh sb="29" eb="31">
      <t>カイフク</t>
    </rPh>
    <rPh sb="34" eb="36">
      <t>カイフク</t>
    </rPh>
    <rPh sb="39" eb="40">
      <t>カ</t>
    </rPh>
    <rPh sb="47" eb="49">
      <t>アッカ</t>
    </rPh>
    <rPh sb="52" eb="55">
      <t>コウイショウ</t>
    </rPh>
    <rPh sb="58" eb="60">
      <t>カンゼン</t>
    </rPh>
    <rPh sb="61" eb="63">
      <t>カイフク</t>
    </rPh>
    <rPh sb="68" eb="70">
      <t>ミチ</t>
    </rPh>
    <rPh sb="92" eb="94">
      <t>チュウシ</t>
    </rPh>
    <rPh sb="102" eb="104">
      <t>ケイゾク</t>
    </rPh>
    <rPh sb="109" eb="110">
      <t>タ</t>
    </rPh>
    <phoneticPr fontId="4"/>
  </si>
  <si>
    <t>DIS_CLASSIFICATION_CD</t>
    <phoneticPr fontId="4"/>
  </si>
  <si>
    <t>主診断フラグ</t>
    <rPh sb="0" eb="1">
      <t>シュ</t>
    </rPh>
    <rPh sb="1" eb="3">
      <t>シンダン</t>
    </rPh>
    <phoneticPr fontId="3"/>
  </si>
  <si>
    <t>HspPatientDiseaseのDIS_CLASSIFICATION_CDの値を「JHSD 表 0007-病名区分」に定義されているコードに変換する。</t>
  </si>
  <si>
    <t>PRB-18</t>
  </si>
  <si>
    <t>PRB.18.1</t>
    <phoneticPr fontId="4"/>
  </si>
  <si>
    <t>condition_status_source_value</t>
  </si>
  <si>
    <t>【参考】
「JHSD 表 0007-病名区分」
1：主診断
2：副診断</t>
    <rPh sb="26" eb="29">
      <t>シュシンダン</t>
    </rPh>
    <rPh sb="32" eb="33">
      <t>フク</t>
    </rPh>
    <rPh sb="33" eb="35">
      <t>シンダン</t>
    </rPh>
    <phoneticPr fontId="4"/>
  </si>
  <si>
    <t>DIS_SUSPECT_CD</t>
    <phoneticPr fontId="4"/>
  </si>
  <si>
    <t>疑いフラグ</t>
    <rPh sb="0" eb="1">
      <t>ウタガ</t>
    </rPh>
    <phoneticPr fontId="3"/>
  </si>
  <si>
    <t>HspPatientDiseaseのDIS_SUSPECT_CDの値を「JHSD 表 0005-疑い病名フラグ」に定義されているコードに変換する。</t>
  </si>
  <si>
    <t>PRB-13</t>
  </si>
  <si>
    <t>PRB.13.1</t>
    <phoneticPr fontId="4"/>
  </si>
  <si>
    <t>【参考】
「JHSD 表 0005-疑い病名フラグ」
1：疑いあり</t>
    <rPh sb="1" eb="3">
      <t>サンコウ</t>
    </rPh>
    <rPh sb="29" eb="30">
      <t>ウタガ</t>
    </rPh>
    <phoneticPr fontId="4"/>
  </si>
  <si>
    <t>DIS_START_AGE</t>
    <phoneticPr fontId="4"/>
  </si>
  <si>
    <t>病名開始日年齢</t>
    <rPh sb="0" eb="2">
      <t>ビョウメイ</t>
    </rPh>
    <rPh sb="2" eb="5">
      <t>カイシビ</t>
    </rPh>
    <rPh sb="5" eb="7">
      <t>ネンレイ</t>
    </rPh>
    <phoneticPr fontId="4"/>
  </si>
  <si>
    <t>HspPatientDiseaseのDIS_START_AGEの値を設定する。</t>
  </si>
  <si>
    <t>病名開始日が2023/4/1で、
生年月日が1950/1/1の場合は「73」
生年月日が2023/1/1の場合は「0」</t>
    <rPh sb="0" eb="5">
      <t>ビョウメイカイシビ</t>
    </rPh>
    <rPh sb="31" eb="33">
      <t>バアイ</t>
    </rPh>
    <rPh sb="53" eb="55">
      <t>バアイ</t>
    </rPh>
    <phoneticPr fontId="4"/>
  </si>
  <si>
    <t>DIS_START_MONTHS</t>
    <phoneticPr fontId="4"/>
  </si>
  <si>
    <t>病名開始日月齢</t>
    <rPh sb="0" eb="2">
      <t>ビョウメイ</t>
    </rPh>
    <rPh sb="2" eb="5">
      <t>カイシビ</t>
    </rPh>
    <rPh sb="5" eb="7">
      <t>ゲツレイ</t>
    </rPh>
    <phoneticPr fontId="4"/>
  </si>
  <si>
    <t>HspPatientDiseaseのDIS_START_MONTHSの値を設定する。</t>
  </si>
  <si>
    <t>病名開始日が2023/4/1で、
生年月日が1950/1/1の場合は「879」
生年月日が2023/1/1の場合は「3」
病名開始日時点が2歳未満の場合は必須とする</t>
    <rPh sb="0" eb="2">
      <t>ビョウメイ</t>
    </rPh>
    <rPh sb="2" eb="5">
      <t>カイシビ</t>
    </rPh>
    <rPh sb="17" eb="19">
      <t>セイネン</t>
    </rPh>
    <rPh sb="19" eb="21">
      <t>ガッピ</t>
    </rPh>
    <rPh sb="31" eb="33">
      <t>バアイ</t>
    </rPh>
    <rPh sb="40" eb="42">
      <t>セイネン</t>
    </rPh>
    <rPh sb="42" eb="44">
      <t>ガッピ</t>
    </rPh>
    <rPh sb="54" eb="56">
      <t>バアイ</t>
    </rPh>
    <rPh sb="61" eb="66">
      <t>ビョウメイカイシビ</t>
    </rPh>
    <rPh sb="66" eb="68">
      <t>ジテン</t>
    </rPh>
    <rPh sb="70" eb="73">
      <t>サイミマン</t>
    </rPh>
    <rPh sb="74" eb="76">
      <t>バアイ</t>
    </rPh>
    <rPh sb="77" eb="79">
      <t>ヒッス</t>
    </rPh>
    <phoneticPr fontId="4"/>
  </si>
  <si>
    <t>DIS_START_DAYS</t>
    <phoneticPr fontId="4"/>
  </si>
  <si>
    <t>病名開始日日齢</t>
    <rPh sb="0" eb="2">
      <t>ビョウメイ</t>
    </rPh>
    <rPh sb="2" eb="5">
      <t>カイシビ</t>
    </rPh>
    <rPh sb="5" eb="7">
      <t>ニチレイ</t>
    </rPh>
    <phoneticPr fontId="4"/>
  </si>
  <si>
    <t>HspPatientDiseaseのDIS_START_DAYSの値を設定する。</t>
  </si>
  <si>
    <t>病名開始日が2023/4/1で、
生年月日が1950/1/1の場合は「26735」
生年月日が2023/1/1の場合は「90」
病名開始日時点で生後90日未満の場合は必須とする</t>
    <rPh sb="0" eb="2">
      <t>ビョウメイ</t>
    </rPh>
    <rPh sb="2" eb="5">
      <t>カイシビ</t>
    </rPh>
    <rPh sb="17" eb="19">
      <t>セイネン</t>
    </rPh>
    <rPh sb="19" eb="21">
      <t>ガッピ</t>
    </rPh>
    <rPh sb="31" eb="33">
      <t>バアイ</t>
    </rPh>
    <rPh sb="42" eb="44">
      <t>セイネン</t>
    </rPh>
    <rPh sb="44" eb="46">
      <t>ガッピ</t>
    </rPh>
    <rPh sb="56" eb="58">
      <t>バアイ</t>
    </rPh>
    <rPh sb="64" eb="69">
      <t>ビョウメイカイシビ</t>
    </rPh>
    <rPh sb="69" eb="71">
      <t>ジテン</t>
    </rPh>
    <rPh sb="72" eb="74">
      <t>セイゴ</t>
    </rPh>
    <rPh sb="76" eb="77">
      <t>ニチ</t>
    </rPh>
    <rPh sb="77" eb="79">
      <t>ミマン</t>
    </rPh>
    <rPh sb="80" eb="82">
      <t>バアイ</t>
    </rPh>
    <rPh sb="83" eb="85">
      <t>ヒッス</t>
    </rPh>
    <phoneticPr fontId="4"/>
  </si>
  <si>
    <t>DIS_ESTABLISHED_AGE</t>
    <phoneticPr fontId="4"/>
  </si>
  <si>
    <t>診断日年齢</t>
    <rPh sb="3" eb="5">
      <t>ネンレイ</t>
    </rPh>
    <phoneticPr fontId="4"/>
  </si>
  <si>
    <t>HspPatientDiseaseのDIS_ESTABLISHED_AGEの値を設定する。</t>
  </si>
  <si>
    <t>診断日が2023/4/1で、
生年月日が1950/1/1の場合は「73」
生年月日が2023/1/1の場合は「0」</t>
    <rPh sb="29" eb="31">
      <t>バアイ</t>
    </rPh>
    <rPh sb="51" eb="53">
      <t>バアイ</t>
    </rPh>
    <phoneticPr fontId="4"/>
  </si>
  <si>
    <t>DIS_ESTABLISHED_MONTHS</t>
    <phoneticPr fontId="4"/>
  </si>
  <si>
    <t>診断日月齢</t>
    <rPh sb="3" eb="5">
      <t>ゲツレイ</t>
    </rPh>
    <phoneticPr fontId="4"/>
  </si>
  <si>
    <t>HspPatientDiseaseのDIS_ESTABLISHED_MONTHSの値を設定する。</t>
  </si>
  <si>
    <t>診断日が2023/4/1で、
生年月日が1950/1/1の場合は「879」
生年月日が2023/1/1の場合は「3」
診断日時点が2歳未満の場合は必須とする</t>
    <rPh sb="15" eb="17">
      <t>セイネン</t>
    </rPh>
    <rPh sb="17" eb="19">
      <t>ガッピ</t>
    </rPh>
    <rPh sb="29" eb="31">
      <t>バアイ</t>
    </rPh>
    <rPh sb="38" eb="40">
      <t>セイネン</t>
    </rPh>
    <rPh sb="40" eb="42">
      <t>ガッピ</t>
    </rPh>
    <rPh sb="52" eb="54">
      <t>バアイ</t>
    </rPh>
    <rPh sb="62" eb="64">
      <t>ジテン</t>
    </rPh>
    <rPh sb="66" eb="69">
      <t>サイミマン</t>
    </rPh>
    <rPh sb="70" eb="72">
      <t>バアイ</t>
    </rPh>
    <rPh sb="73" eb="75">
      <t>ヒッス</t>
    </rPh>
    <phoneticPr fontId="4"/>
  </si>
  <si>
    <t>DIS_ESTABLISHED_DAYS</t>
    <phoneticPr fontId="4"/>
  </si>
  <si>
    <t>診断日日齢</t>
    <rPh sb="3" eb="5">
      <t>ニチレイ</t>
    </rPh>
    <phoneticPr fontId="4"/>
  </si>
  <si>
    <t>HspPatientDiseaseのDIS_ESTABLISHED_DAYSの値を設定する。</t>
  </si>
  <si>
    <t>診断日が2023/4/1で、
生年月日が1950/1/1の場合は「26735」
生年月日が2023/1/1の場合は「90」
診断日時点で生後90日未満の場合は必須とする</t>
    <rPh sb="15" eb="17">
      <t>セイネン</t>
    </rPh>
    <rPh sb="17" eb="19">
      <t>ガッピ</t>
    </rPh>
    <rPh sb="29" eb="31">
      <t>バアイ</t>
    </rPh>
    <rPh sb="40" eb="42">
      <t>セイネン</t>
    </rPh>
    <rPh sb="42" eb="44">
      <t>ガッピ</t>
    </rPh>
    <rPh sb="54" eb="56">
      <t>バアイ</t>
    </rPh>
    <rPh sb="65" eb="67">
      <t>ジテン</t>
    </rPh>
    <rPh sb="68" eb="70">
      <t>セイゴ</t>
    </rPh>
    <rPh sb="72" eb="73">
      <t>ニチ</t>
    </rPh>
    <rPh sb="73" eb="75">
      <t>ミマン</t>
    </rPh>
    <rPh sb="76" eb="78">
      <t>バアイ</t>
    </rPh>
    <rPh sb="79" eb="81">
      <t>ヒッス</t>
    </rPh>
    <phoneticPr fontId="4"/>
  </si>
  <si>
    <t>HspPatientDiseaseのDATA_UPDATE_DATEの値を設定する。</t>
  </si>
  <si>
    <t>PRB-2</t>
    <phoneticPr fontId="4"/>
  </si>
  <si>
    <t>PRB2.1</t>
    <phoneticPr fontId="4"/>
  </si>
  <si>
    <t>HspPatientDiseaseのTS_TABLE_UPDATEの値を設定する。</t>
  </si>
  <si>
    <t>ObservationResult（臨中ネット検体検査結果データテーブル）</t>
    <rPh sb="23" eb="29">
      <t>ケンタイケンサケッカ</t>
    </rPh>
    <phoneticPr fontId="4"/>
  </si>
  <si>
    <t>患者の検体検査結果についての情報を提供する。病院オリジナル検体検査結果テーブルの値を引用し、そのまま記録または標準コードに変換して記録することとする。</t>
    <rPh sb="3" eb="7">
      <t>ケンタイケンサ</t>
    </rPh>
    <rPh sb="7" eb="9">
      <t>ケッカ</t>
    </rPh>
    <rPh sb="29" eb="33">
      <t>ケンタイケンサ</t>
    </rPh>
    <rPh sb="33" eb="35">
      <t>ケッカ</t>
    </rPh>
    <phoneticPr fontId="4"/>
  </si>
  <si>
    <t>HspObservationResultとHspObservationResultCommentを結合し、検査結果値とコメントを1レコードで示す。</t>
    <rPh sb="49" eb="51">
      <t>ケツゴウ</t>
    </rPh>
    <rPh sb="53" eb="58">
      <t>ケンサケッカチ</t>
    </rPh>
    <rPh sb="70" eb="71">
      <t>シメ</t>
    </rPh>
    <phoneticPr fontId="4"/>
  </si>
  <si>
    <t>最終の検査結果値のみを記録することとし、1レコードは単一検査の結果、あるいは部分検査の1結果を示すものとする。</t>
    <rPh sb="0" eb="2">
      <t>サイシュウ</t>
    </rPh>
    <rPh sb="3" eb="5">
      <t>ケンサ</t>
    </rPh>
    <rPh sb="5" eb="7">
      <t>ケッカ</t>
    </rPh>
    <rPh sb="7" eb="8">
      <t>アタイ</t>
    </rPh>
    <rPh sb="11" eb="13">
      <t>キロク</t>
    </rPh>
    <rPh sb="26" eb="30">
      <t>タンイツケンサ</t>
    </rPh>
    <rPh sb="31" eb="33">
      <t>ケッカ</t>
    </rPh>
    <rPh sb="38" eb="42">
      <t>ブブンケンサ</t>
    </rPh>
    <rPh sb="44" eb="46">
      <t>ケッカ</t>
    </rPh>
    <rPh sb="47" eb="48">
      <t>シメ</t>
    </rPh>
    <phoneticPr fontId="4"/>
  </si>
  <si>
    <t>HspObservationResult（病院オリジナル検体検査結果テーブル）で個別に取消されるレコードを除外する。ORDER_CONTROLが「CA」のものは抽出対象外とする。</t>
    <rPh sb="40" eb="42">
      <t>コベツ</t>
    </rPh>
    <rPh sb="43" eb="45">
      <t>トリケシ</t>
    </rPh>
    <rPh sb="53" eb="55">
      <t>ジョガイ</t>
    </rPh>
    <rPh sb="80" eb="82">
      <t>チュウシュツ</t>
    </rPh>
    <rPh sb="82" eb="85">
      <t>タイショウガイ</t>
    </rPh>
    <phoneticPr fontId="4"/>
  </si>
  <si>
    <t>OBX_UNIQUE_ID</t>
    <phoneticPr fontId="5"/>
  </si>
  <si>
    <t>HspObservationResultのOBX_UNIQUE_IDの値を設定する。</t>
    <phoneticPr fontId="4"/>
  </si>
  <si>
    <t>PatientIDExchangeによりHspObservationResultのPATIENT_IDに対応する検索用患者IDを設定する。</t>
    <rPh sb="52" eb="54">
      <t>タイオウ</t>
    </rPh>
    <rPh sb="64" eb="66">
      <t>セッテイ</t>
    </rPh>
    <phoneticPr fontId="4"/>
  </si>
  <si>
    <t>HspObservationResultのDEPT_CD_Lの値を「SS-MIX2 統一診療科コード表 V1.0」に定義されているコードに変換する。</t>
  </si>
  <si>
    <t>HspObservationResultのDEPT_CD_Lの値を設定する。</t>
  </si>
  <si>
    <t>HspObservationResultのDEPT_NAME_Lの値を設定する。</t>
  </si>
  <si>
    <t>PLACER_ORDER_NO</t>
    <phoneticPr fontId="4"/>
  </si>
  <si>
    <t>依頼者オーダー番号</t>
    <rPh sb="0" eb="3">
      <t>イライシャ</t>
    </rPh>
    <rPh sb="7" eb="9">
      <t>バンゴウ</t>
    </rPh>
    <phoneticPr fontId="4"/>
  </si>
  <si>
    <t>HspObservationResultのPLACER_ORDER_NOの値を設定する。</t>
  </si>
  <si>
    <t>ORC-2</t>
    <phoneticPr fontId="4"/>
  </si>
  <si>
    <t>ORC.2.1</t>
    <phoneticPr fontId="4"/>
  </si>
  <si>
    <t>FILLER_ORDER_NO</t>
    <phoneticPr fontId="4"/>
  </si>
  <si>
    <t>実施者オーダー番号</t>
    <rPh sb="0" eb="3">
      <t>ジッシシャ</t>
    </rPh>
    <rPh sb="7" eb="9">
      <t>バンゴウ</t>
    </rPh>
    <phoneticPr fontId="4"/>
  </si>
  <si>
    <t>HspObservationResultのFILLER_ORDER_NOの値を設定する。</t>
  </si>
  <si>
    <t>ORC-3</t>
  </si>
  <si>
    <t>ORC.3.1</t>
    <phoneticPr fontId="4"/>
  </si>
  <si>
    <t>SPM_ID</t>
    <phoneticPr fontId="4"/>
  </si>
  <si>
    <t>検体ID</t>
    <rPh sb="0" eb="2">
      <t>ケンタイ</t>
    </rPh>
    <phoneticPr fontId="4"/>
  </si>
  <si>
    <t>HspObservationResultのSPM_IDの値を設定する。</t>
    <phoneticPr fontId="4"/>
  </si>
  <si>
    <t>SPM-2</t>
    <phoneticPr fontId="4"/>
  </si>
  <si>
    <t>SPM.2.1.1</t>
    <phoneticPr fontId="4"/>
  </si>
  <si>
    <t>OBX_SET_ID</t>
    <phoneticPr fontId="4"/>
  </si>
  <si>
    <t>検査セットID</t>
    <phoneticPr fontId="4"/>
  </si>
  <si>
    <t>HspObservationResultのOBX_SET_IDの値を設定する。</t>
    <phoneticPr fontId="4"/>
  </si>
  <si>
    <t>VARCHAR(32)</t>
  </si>
  <si>
    <t>OBX-1</t>
    <phoneticPr fontId="4"/>
  </si>
  <si>
    <t>OBX.1</t>
    <phoneticPr fontId="4"/>
  </si>
  <si>
    <t>OBX_SUB_ID</t>
    <phoneticPr fontId="4"/>
  </si>
  <si>
    <t>検査サブID</t>
    <rPh sb="0" eb="2">
      <t>ケンサ</t>
    </rPh>
    <phoneticPr fontId="4"/>
  </si>
  <si>
    <t>HspObservationResultのOBX_SUB_IDの値を設定する。</t>
    <phoneticPr fontId="4"/>
  </si>
  <si>
    <t>OBX-4</t>
    <phoneticPr fontId="4"/>
  </si>
  <si>
    <t>OBX.4</t>
    <phoneticPr fontId="4"/>
  </si>
  <si>
    <t>SPM_COLLECT_DATE</t>
    <phoneticPr fontId="4"/>
  </si>
  <si>
    <t>検体採取日</t>
    <rPh sb="0" eb="2">
      <t>ケンタイ</t>
    </rPh>
    <rPh sb="2" eb="4">
      <t>サイシュ</t>
    </rPh>
    <rPh sb="4" eb="5">
      <t>ヒ</t>
    </rPh>
    <phoneticPr fontId="3"/>
  </si>
  <si>
    <t>HspObservationResultのSPM_COLLECT_DATEの値を設定する。</t>
  </si>
  <si>
    <t>SPM-17</t>
    <phoneticPr fontId="4"/>
  </si>
  <si>
    <t>SPM17.1</t>
    <phoneticPr fontId="4"/>
  </si>
  <si>
    <t>measurement_date
measurement_datetime</t>
    <phoneticPr fontId="4"/>
  </si>
  <si>
    <t>SPM_COLLECT_TIME</t>
    <phoneticPr fontId="4"/>
  </si>
  <si>
    <t>検体採取時刻</t>
    <rPh sb="0" eb="2">
      <t>ケンタイ</t>
    </rPh>
    <rPh sb="2" eb="4">
      <t>サイシュ</t>
    </rPh>
    <rPh sb="4" eb="6">
      <t>ジコク</t>
    </rPh>
    <phoneticPr fontId="3"/>
  </si>
  <si>
    <t>HspObservationResultのSPM_COLLECT_TIMEの値を設定する。</t>
  </si>
  <si>
    <t>RE</t>
  </si>
  <si>
    <t>measurement_datetime
measurement_time</t>
    <phoneticPr fontId="4"/>
  </si>
  <si>
    <t>SCH_SPM_COLLECT_DATE</t>
    <phoneticPr fontId="4"/>
  </si>
  <si>
    <t>検体採取日（日付型）</t>
    <phoneticPr fontId="4"/>
  </si>
  <si>
    <t>HspObservationResultのSCH_SPM_COLLECT_DATEの値を設定する。</t>
    <phoneticPr fontId="4"/>
  </si>
  <si>
    <t>OBX_CD_S</t>
    <phoneticPr fontId="4"/>
  </si>
  <si>
    <t>検査項目標準コード</t>
    <rPh sb="4" eb="6">
      <t>ヒョウジュン</t>
    </rPh>
    <phoneticPr fontId="3"/>
  </si>
  <si>
    <t>変換マスタよりHspObservationResultのOBX_CD_Lに対応する検査項目の標準コードを設定する。
変換マスタに項目がない場合は空値（null）とする。</t>
    <rPh sb="0" eb="2">
      <t>ヘンカン</t>
    </rPh>
    <rPh sb="37" eb="39">
      <t>タイオウ</t>
    </rPh>
    <rPh sb="41" eb="45">
      <t>ケンサコウモク</t>
    </rPh>
    <rPh sb="46" eb="48">
      <t>ヒョウジュン</t>
    </rPh>
    <rPh sb="52" eb="54">
      <t>セッテイ</t>
    </rPh>
    <rPh sb="58" eb="60">
      <t>ヘンカン</t>
    </rPh>
    <rPh sb="64" eb="66">
      <t>コウモク</t>
    </rPh>
    <rPh sb="69" eb="71">
      <t>バアイ</t>
    </rPh>
    <rPh sb="72" eb="74">
      <t>クウチ</t>
    </rPh>
    <phoneticPr fontId="4"/>
  </si>
  <si>
    <t>measurement_source_value</t>
  </si>
  <si>
    <t>OBX_NAME_S</t>
    <phoneticPr fontId="4"/>
  </si>
  <si>
    <t>検査項目標準名称</t>
    <rPh sb="4" eb="6">
      <t>ヒョウジュン</t>
    </rPh>
    <phoneticPr fontId="3"/>
  </si>
  <si>
    <t>変換マスタよりHspObservationResultのOBX_CD_Lに対応する検査項目の標準名称を設定する。
変換マスタに項目がない場合は空値（null）とする。</t>
    <rPh sb="0" eb="2">
      <t>ヘンカン</t>
    </rPh>
    <rPh sb="37" eb="39">
      <t>タイオウ</t>
    </rPh>
    <rPh sb="41" eb="45">
      <t>ケンサコウモク</t>
    </rPh>
    <rPh sb="46" eb="48">
      <t>ヒョウジュン</t>
    </rPh>
    <rPh sb="48" eb="50">
      <t>メイショウ</t>
    </rPh>
    <rPh sb="51" eb="53">
      <t>セッテイ</t>
    </rPh>
    <phoneticPr fontId="4"/>
  </si>
  <si>
    <t>OBX_CD_L</t>
    <phoneticPr fontId="4"/>
  </si>
  <si>
    <t>検査項目コード</t>
    <phoneticPr fontId="3"/>
  </si>
  <si>
    <t>HspObservationResultのOBX_CD_Lの値を設定する。</t>
  </si>
  <si>
    <t>OBX-3</t>
  </si>
  <si>
    <t>OBX-3.1　または　OBX-3.4</t>
    <phoneticPr fontId="4"/>
  </si>
  <si>
    <t>OBX_NAME_L</t>
    <phoneticPr fontId="4"/>
  </si>
  <si>
    <t>検査項目名称</t>
    <phoneticPr fontId="3"/>
  </si>
  <si>
    <t>HspObservationResultのOBX_NAME_Lの値を設定する。</t>
  </si>
  <si>
    <t>OBX-3</t>
    <phoneticPr fontId="4"/>
  </si>
  <si>
    <t>OBX-3.2　または　OBX-3.5</t>
    <phoneticPr fontId="4"/>
  </si>
  <si>
    <t>SPM_CD_S</t>
    <phoneticPr fontId="4"/>
  </si>
  <si>
    <t>材料標準コード</t>
    <rPh sb="2" eb="4">
      <t>ヒョウジュン</t>
    </rPh>
    <phoneticPr fontId="3"/>
  </si>
  <si>
    <t>変換マスタよりHspObservationResultのSPM_CD_Lに対応する材料の標準コードを設定する。
変換マスタに項目がない場合は空値（null）とする。</t>
    <rPh sb="0" eb="2">
      <t>ヘンカン</t>
    </rPh>
    <rPh sb="37" eb="39">
      <t>タイオウ</t>
    </rPh>
    <rPh sb="41" eb="43">
      <t>ザイリョウ</t>
    </rPh>
    <rPh sb="44" eb="46">
      <t>ヒョウジュン</t>
    </rPh>
    <rPh sb="50" eb="52">
      <t>セッテイ</t>
    </rPh>
    <rPh sb="56" eb="58">
      <t>ヘンカン</t>
    </rPh>
    <rPh sb="62" eb="64">
      <t>コウモク</t>
    </rPh>
    <rPh sb="67" eb="69">
      <t>バアイ</t>
    </rPh>
    <rPh sb="70" eb="72">
      <t>クウチ</t>
    </rPh>
    <phoneticPr fontId="4"/>
  </si>
  <si>
    <t>SPM_NAME_S</t>
    <phoneticPr fontId="4"/>
  </si>
  <si>
    <t>材料標準名称</t>
    <rPh sb="2" eb="4">
      <t>ヒョウジュン</t>
    </rPh>
    <phoneticPr fontId="3"/>
  </si>
  <si>
    <t>変換マスタよりHspObservationResultのSPM_CD_Lに対応する材料の標準名称を設定する。
変換マスタに項目がない場合は空値（null）とする。</t>
    <rPh sb="0" eb="2">
      <t>ヘンカン</t>
    </rPh>
    <rPh sb="37" eb="39">
      <t>タイオウ</t>
    </rPh>
    <rPh sb="41" eb="43">
      <t>ザイリョウ</t>
    </rPh>
    <rPh sb="44" eb="46">
      <t>ヒョウジュン</t>
    </rPh>
    <rPh sb="46" eb="48">
      <t>メイショウ</t>
    </rPh>
    <rPh sb="49" eb="51">
      <t>セッテイ</t>
    </rPh>
    <rPh sb="55" eb="57">
      <t>ヘンカン</t>
    </rPh>
    <rPh sb="61" eb="63">
      <t>コウモク</t>
    </rPh>
    <rPh sb="66" eb="68">
      <t>バアイ</t>
    </rPh>
    <rPh sb="69" eb="71">
      <t>クウチ</t>
    </rPh>
    <phoneticPr fontId="4"/>
  </si>
  <si>
    <t>SPM_CD_L</t>
    <phoneticPr fontId="4"/>
  </si>
  <si>
    <t>材料コード</t>
    <phoneticPr fontId="3"/>
  </si>
  <si>
    <t>HspObservationResultのSPM_CD_Lの値を設定する。</t>
    <phoneticPr fontId="4"/>
  </si>
  <si>
    <t>SPM-4</t>
  </si>
  <si>
    <t>SPM.4.1　または　SPM4.4</t>
    <phoneticPr fontId="4"/>
  </si>
  <si>
    <t>SPM_NAME_L</t>
    <phoneticPr fontId="4"/>
  </si>
  <si>
    <t>材料名称</t>
    <phoneticPr fontId="3"/>
  </si>
  <si>
    <t>HspObservationResultのSPM_NAME_Lの値を設定する。</t>
  </si>
  <si>
    <t>SPM.4.2　または　SPM4.5</t>
    <phoneticPr fontId="4"/>
  </si>
  <si>
    <t>OBX_VALUE_L</t>
    <phoneticPr fontId="4"/>
  </si>
  <si>
    <t>検査結果値</t>
    <rPh sb="0" eb="5">
      <t>ケンサケッカチ</t>
    </rPh>
    <phoneticPr fontId="3"/>
  </si>
  <si>
    <t>HspObservationResultのOBX_VALUE_Lに変換マスタよりHspObservationResultのOBX_CD_Lに対応する変換係数をかけ、標準単位に換算した値を設定する。</t>
    <rPh sb="70" eb="72">
      <t>タイオウ</t>
    </rPh>
    <rPh sb="74" eb="78">
      <t>ヘンカンケイスウ</t>
    </rPh>
    <rPh sb="82" eb="86">
      <t>ヒョウジュンタンイ</t>
    </rPh>
    <rPh sb="87" eb="89">
      <t>カンサン</t>
    </rPh>
    <rPh sb="91" eb="92">
      <t>アタイ</t>
    </rPh>
    <rPh sb="93" eb="95">
      <t>セッテイ</t>
    </rPh>
    <phoneticPr fontId="4"/>
  </si>
  <si>
    <t>OBX-5</t>
  </si>
  <si>
    <t>OBX.5</t>
    <phoneticPr fontId="4"/>
  </si>
  <si>
    <t>value_source_value</t>
    <phoneticPr fontId="4"/>
  </si>
  <si>
    <t>SCH_OBX_VALUE_L</t>
    <phoneticPr fontId="4"/>
  </si>
  <si>
    <t>検査結果値（数値型）</t>
    <rPh sb="0" eb="5">
      <t>ケンサケッカチ</t>
    </rPh>
    <rPh sb="6" eb="8">
      <t>スウチ</t>
    </rPh>
    <rPh sb="8" eb="9">
      <t>ガタ</t>
    </rPh>
    <phoneticPr fontId="3"/>
  </si>
  <si>
    <t>HspObservationResultのOBX_VALUE_Lの値を設定する。</t>
  </si>
  <si>
    <t>REAL</t>
    <phoneticPr fontId="4"/>
  </si>
  <si>
    <t>OBX_UNIT_L</t>
    <phoneticPr fontId="4"/>
  </si>
  <si>
    <t>単位</t>
    <phoneticPr fontId="3"/>
  </si>
  <si>
    <t>HspObservationResultのOBX_UNIT_Lの値を設定する。</t>
  </si>
  <si>
    <t>OBX-6</t>
  </si>
  <si>
    <t>OBX.6.2</t>
    <phoneticPr fontId="4"/>
  </si>
  <si>
    <t>SCH_OBX_VALUE_S</t>
    <phoneticPr fontId="4"/>
  </si>
  <si>
    <t>標準単位換算値（数値型）</t>
    <rPh sb="0" eb="2">
      <t>ヒョウジュン</t>
    </rPh>
    <rPh sb="2" eb="4">
      <t>タンイ</t>
    </rPh>
    <rPh sb="4" eb="6">
      <t>カンサン</t>
    </rPh>
    <rPh sb="6" eb="7">
      <t>アタイ</t>
    </rPh>
    <rPh sb="8" eb="10">
      <t>スウチ</t>
    </rPh>
    <rPh sb="10" eb="11">
      <t>ガタ</t>
    </rPh>
    <phoneticPr fontId="3"/>
  </si>
  <si>
    <t>HspObservationResultのSCH_OBX_VALUE_Lに変換マスタよりHspObservationResultのOBX_CD_Lに対応する変換係数をかけ、標準単位に換算した値を設定する。nullの場合はnullのままとする。</t>
    <rPh sb="74" eb="76">
      <t>タイオウ</t>
    </rPh>
    <rPh sb="78" eb="82">
      <t>ヘンカンケイスウ</t>
    </rPh>
    <rPh sb="86" eb="90">
      <t>ヒョウジュンタンイ</t>
    </rPh>
    <rPh sb="91" eb="93">
      <t>カンサン</t>
    </rPh>
    <rPh sb="95" eb="96">
      <t>アタイ</t>
    </rPh>
    <rPh sb="97" eb="99">
      <t>セッテイ</t>
    </rPh>
    <rPh sb="107" eb="109">
      <t>バアイ</t>
    </rPh>
    <phoneticPr fontId="4"/>
  </si>
  <si>
    <t>OBX_UNIT_S</t>
    <phoneticPr fontId="4"/>
  </si>
  <si>
    <t>標準単位</t>
    <rPh sb="0" eb="2">
      <t>ヒョウジュン</t>
    </rPh>
    <phoneticPr fontId="3"/>
  </si>
  <si>
    <t>変換マスタよりHspObservationResultのOBX_CD_Lに対応する標準単位名称を設定する。</t>
    <rPh sb="0" eb="2">
      <t>ヘンカン</t>
    </rPh>
    <rPh sb="37" eb="39">
      <t>タイオウ</t>
    </rPh>
    <rPh sb="41" eb="43">
      <t>ヒョウジュン</t>
    </rPh>
    <rPh sb="43" eb="45">
      <t>タンイ</t>
    </rPh>
    <rPh sb="45" eb="47">
      <t>メイショウ</t>
    </rPh>
    <rPh sb="48" eb="50">
      <t>セッテイ</t>
    </rPh>
    <phoneticPr fontId="4"/>
  </si>
  <si>
    <t>OBX_RANGE_TEXT_L</t>
    <phoneticPr fontId="4"/>
  </si>
  <si>
    <t>正常値テキスト</t>
    <phoneticPr fontId="3"/>
  </si>
  <si>
    <t>HspObservationResultのOBX_RANGE_TEXT_Lの値を設定する。</t>
  </si>
  <si>
    <t>OBX-7</t>
  </si>
  <si>
    <t>OBX.7</t>
    <phoneticPr fontId="4"/>
  </si>
  <si>
    <t>OBX_RANGE_HIGH_L</t>
    <phoneticPr fontId="4"/>
  </si>
  <si>
    <t>正常値上限</t>
    <phoneticPr fontId="3"/>
  </si>
  <si>
    <t>HspObservationResultのOBX_RANGE_HIGH_Lの値を設定する。</t>
  </si>
  <si>
    <t>range_high</t>
  </si>
  <si>
    <t>OBX_RANGE_LOW_L</t>
    <phoneticPr fontId="4"/>
  </si>
  <si>
    <t>正常値下限</t>
    <phoneticPr fontId="3"/>
  </si>
  <si>
    <t>HspObservationResultのOBX_RANGE_LOW_Lの値を設定する。</t>
  </si>
  <si>
    <t>range_low</t>
  </si>
  <si>
    <t>OBX_ABNORMAL_CD</t>
    <phoneticPr fontId="4"/>
  </si>
  <si>
    <t>異常フラグ</t>
    <phoneticPr fontId="3"/>
  </si>
  <si>
    <t>HspObservationResultのOBX_ABNORMAL_CDの値を使用者定義表「0078-異常フラグ」に定義されているコードに変換する。</t>
  </si>
  <si>
    <t>OBX-8</t>
  </si>
  <si>
    <t>OBX.8</t>
  </si>
  <si>
    <t xml:space="preserve">
【参考】
使用者定義表「0078-異常フラグ」
L：基準値下限以下
H：基準値上限以上　　　　など</t>
    <phoneticPr fontId="4"/>
  </si>
  <si>
    <t>OBX_RESULT_STATUS_CD</t>
    <phoneticPr fontId="4"/>
  </si>
  <si>
    <t>検査結果状態</t>
    <rPh sb="0" eb="2">
      <t>ケンサ</t>
    </rPh>
    <phoneticPr fontId="3"/>
  </si>
  <si>
    <t>HspObservationResultのOBX_RESULT_STATUS_CDの値をHL7 表「0085–検査結果状態」に定義されているコードに変換する。</t>
  </si>
  <si>
    <t>OBX-11</t>
    <phoneticPr fontId="4"/>
  </si>
  <si>
    <t>OBX.11</t>
    <phoneticPr fontId="4"/>
  </si>
  <si>
    <t>【参考】
HL7 表「0085–検査結果状態」
F：最終結果；結果格納・確認済
O：依頼詳細記述（結果なし）　　など</t>
    <phoneticPr fontId="4"/>
  </si>
  <si>
    <t>OBX_RESULT_COMMENT</t>
    <phoneticPr fontId="4"/>
  </si>
  <si>
    <t>検査結果コメント</t>
    <phoneticPr fontId="4"/>
  </si>
  <si>
    <t>HspObservationResultCommentよりOBX_UNIQUE_IDが一致するOBX_RESULT_COMMENTの内容を設定する。</t>
    <rPh sb="43" eb="45">
      <t>イッチ</t>
    </rPh>
    <rPh sb="66" eb="68">
      <t>ナイヨウ</t>
    </rPh>
    <rPh sb="69" eb="71">
      <t>セッテイ</t>
    </rPh>
    <phoneticPr fontId="4"/>
  </si>
  <si>
    <t>【参考】
OBX-3に検査結果コメントをセットする場合、検査項目IDを接尾辞で修飾したコードを用いる</t>
    <phoneticPr fontId="4"/>
  </si>
  <si>
    <t>SPM_COLLECT_AGE</t>
  </si>
  <si>
    <t>検体採取日年齢</t>
    <rPh sb="5" eb="7">
      <t>ネンレイ</t>
    </rPh>
    <phoneticPr fontId="4"/>
  </si>
  <si>
    <t>HspObservationResultのSPM_COLLECT_AGEの値を設定する。</t>
  </si>
  <si>
    <t>検体採取日が2023/4/1で、
生年月日が1950/1/1の場合は「73」
生年月日が2023/1/1の場合は「0」</t>
    <rPh sb="31" eb="33">
      <t>バアイ</t>
    </rPh>
    <rPh sb="53" eb="55">
      <t>バアイ</t>
    </rPh>
    <phoneticPr fontId="4"/>
  </si>
  <si>
    <t>SPM_COLLECT_MONTHS</t>
  </si>
  <si>
    <t>検体採取日月齢</t>
    <rPh sb="5" eb="7">
      <t>ゲツレイ</t>
    </rPh>
    <phoneticPr fontId="4"/>
  </si>
  <si>
    <t>HspObservationResultのSPM_COLLECT_MONTHSの値を設定する。</t>
  </si>
  <si>
    <t>検体採取日が2023/4/1で、
生年月日が1950/1/1の場合は「879」
生年月日が2023/1/1の場合は「3」
検体採取日時点が2歳未満の場合は必須とする</t>
    <rPh sb="17" eb="19">
      <t>セイネン</t>
    </rPh>
    <rPh sb="19" eb="21">
      <t>ガッピ</t>
    </rPh>
    <rPh sb="31" eb="33">
      <t>バアイ</t>
    </rPh>
    <rPh sb="40" eb="42">
      <t>セイネン</t>
    </rPh>
    <rPh sb="42" eb="44">
      <t>ガッピ</t>
    </rPh>
    <rPh sb="54" eb="56">
      <t>バアイ</t>
    </rPh>
    <rPh sb="66" eb="68">
      <t>ジテン</t>
    </rPh>
    <rPh sb="70" eb="73">
      <t>サイミマン</t>
    </rPh>
    <rPh sb="74" eb="76">
      <t>バアイ</t>
    </rPh>
    <rPh sb="77" eb="79">
      <t>ヒッス</t>
    </rPh>
    <phoneticPr fontId="4"/>
  </si>
  <si>
    <t>SPM_COLLECT_DAYS</t>
  </si>
  <si>
    <t>検体採取日日齢</t>
    <rPh sb="5" eb="7">
      <t>ニチレイ</t>
    </rPh>
    <phoneticPr fontId="4"/>
  </si>
  <si>
    <t>HspObservationResultのSPM_COLLECT_DAYSの値を設定する。</t>
  </si>
  <si>
    <t>検体採取日が2023/4/1で、
生年月日が1950/1/1の場合は「26735」
生年月日が2023/1/1の場合は「90」
検体採取日時点で生後90日未満の場合は必須とする</t>
    <rPh sb="17" eb="19">
      <t>セイネン</t>
    </rPh>
    <rPh sb="19" eb="21">
      <t>ガッピ</t>
    </rPh>
    <rPh sb="31" eb="33">
      <t>バアイ</t>
    </rPh>
    <rPh sb="42" eb="44">
      <t>セイネン</t>
    </rPh>
    <rPh sb="44" eb="46">
      <t>ガッピ</t>
    </rPh>
    <rPh sb="56" eb="58">
      <t>バアイ</t>
    </rPh>
    <rPh sb="69" eb="71">
      <t>ジテン</t>
    </rPh>
    <rPh sb="72" eb="74">
      <t>セイゴ</t>
    </rPh>
    <rPh sb="76" eb="77">
      <t>ニチ</t>
    </rPh>
    <rPh sb="77" eb="79">
      <t>ミマン</t>
    </rPh>
    <rPh sb="80" eb="82">
      <t>バアイ</t>
    </rPh>
    <rPh sb="83" eb="85">
      <t>ヒッス</t>
    </rPh>
    <phoneticPr fontId="4"/>
  </si>
  <si>
    <t>HspObservationResultのDATA_UPDATE_DATEの値を設定する。</t>
  </si>
  <si>
    <t>ORC-9</t>
    <phoneticPr fontId="4"/>
  </si>
  <si>
    <t>ORC.9.1</t>
    <phoneticPr fontId="4"/>
  </si>
  <si>
    <t>HspObservationResultのTS_TABLE_UPDATEの値を設定する。</t>
  </si>
  <si>
    <t>PrescriptionData（臨中ネット処方データテーブル）</t>
    <rPh sb="17" eb="19">
      <t>リンチュウ</t>
    </rPh>
    <rPh sb="22" eb="24">
      <t>ショホウ</t>
    </rPh>
    <phoneticPr fontId="4"/>
  </si>
  <si>
    <t>患者の処方（内服／外用／頓服／自己注射）についての情報を提供する。</t>
    <rPh sb="3" eb="5">
      <t>ショホウ</t>
    </rPh>
    <rPh sb="6" eb="8">
      <t>ナイフク</t>
    </rPh>
    <rPh sb="9" eb="11">
      <t>ガイヨウ</t>
    </rPh>
    <rPh sb="12" eb="14">
      <t>トンプク</t>
    </rPh>
    <rPh sb="15" eb="19">
      <t>ジコチュウシャ</t>
    </rPh>
    <phoneticPr fontId="4"/>
  </si>
  <si>
    <t>SS-MIX2からデータを取り込む場合は「SS-MIX2」の項目を参照のこと。SS-MIX2は「RDE^O11 メッセージ（薬剤（処方／注射）構造化オーダ）」を利用する。</t>
    <rPh sb="13" eb="14">
      <t>ト</t>
    </rPh>
    <rPh sb="15" eb="16">
      <t>コ</t>
    </rPh>
    <rPh sb="17" eb="19">
      <t>バアイ</t>
    </rPh>
    <rPh sb="30" eb="32">
      <t>コウモク</t>
    </rPh>
    <rPh sb="33" eb="35">
      <t>サンショウ</t>
    </rPh>
    <rPh sb="80" eb="82">
      <t>リヨウ</t>
    </rPh>
    <phoneticPr fontId="4"/>
  </si>
  <si>
    <t>薬剤単位の標準コードの変換には薬剤単位変換マスタを利用することを基本とするが、コードが複数の意味を持つ場合は薬剤標準コード変換マスタを用いて標準コードに変換する。</t>
    <rPh sb="0" eb="4">
      <t>ヤクザイタンイ</t>
    </rPh>
    <rPh sb="5" eb="7">
      <t>ヒョウジュン</t>
    </rPh>
    <rPh sb="11" eb="13">
      <t>ヘンカン</t>
    </rPh>
    <rPh sb="15" eb="19">
      <t>ヤクザイタンイ</t>
    </rPh>
    <rPh sb="19" eb="21">
      <t>ヘンカン</t>
    </rPh>
    <rPh sb="25" eb="27">
      <t>リヨウ</t>
    </rPh>
    <rPh sb="32" eb="34">
      <t>キホン</t>
    </rPh>
    <rPh sb="43" eb="45">
      <t>フクスウ</t>
    </rPh>
    <rPh sb="46" eb="48">
      <t>イミ</t>
    </rPh>
    <rPh sb="49" eb="50">
      <t>モ</t>
    </rPh>
    <rPh sb="51" eb="53">
      <t>バアイ</t>
    </rPh>
    <rPh sb="67" eb="68">
      <t>モチ</t>
    </rPh>
    <rPh sb="70" eb="72">
      <t>ヒョウジュン</t>
    </rPh>
    <rPh sb="76" eb="78">
      <t>ヘンカン</t>
    </rPh>
    <phoneticPr fontId="4"/>
  </si>
  <si>
    <t>HspPrescriptionData（病院オリジナル処方テーブル）で個別に取消されるレコードを除外する。ORDER_CONTROLが「CA」のものは抽出対象外とする。</t>
    <rPh sb="35" eb="37">
      <t>コベツ</t>
    </rPh>
    <rPh sb="38" eb="40">
      <t>トリケシ</t>
    </rPh>
    <rPh sb="48" eb="50">
      <t>ジョガイ</t>
    </rPh>
    <rPh sb="75" eb="77">
      <t>チュウシュツ</t>
    </rPh>
    <rPh sb="77" eb="80">
      <t>タイショウガイ</t>
    </rPh>
    <phoneticPr fontId="4"/>
  </si>
  <si>
    <t>施設代替項目</t>
    <phoneticPr fontId="4"/>
  </si>
  <si>
    <t>PRES_UNIQUE_ID</t>
    <phoneticPr fontId="5"/>
  </si>
  <si>
    <t>HspPrescriptionDataのPRES_UNIQUE_IDの値を設定する。</t>
    <phoneticPr fontId="4"/>
  </si>
  <si>
    <t>PatientIDExchangeによりHspPrescriptionDataのPATIENT_IDに対応する検索用患者IDを設定する。</t>
    <rPh sb="51" eb="53">
      <t>タイオウ</t>
    </rPh>
    <rPh sb="63" eb="65">
      <t>セッテイ</t>
    </rPh>
    <phoneticPr fontId="4"/>
  </si>
  <si>
    <t>HspPrescriptionDataのDEPT_CD_Lの値を「SS-MIX2 統一診療科コード表 V1.0」に定義されているコードに変換する。</t>
    <phoneticPr fontId="4"/>
  </si>
  <si>
    <t>HspPrescriptionDataのDEPT_CD_Lの値を設定する。</t>
  </si>
  <si>
    <t>HspPrescriptionDataのDEPT_NAME_Lの値を設定する。</t>
  </si>
  <si>
    <t>HspPrescriptionDataのPLACER_ORDER_NOの値を設定する。</t>
  </si>
  <si>
    <t>RP_NO</t>
  </si>
  <si>
    <t>Rp</t>
    <phoneticPr fontId="4"/>
  </si>
  <si>
    <t>HspPrescriptionDataのRP_NOの値を設定する。</t>
  </si>
  <si>
    <r>
      <t>O</t>
    </r>
    <r>
      <rPr>
        <sz val="10"/>
        <rFont val="游ゴシック"/>
        <family val="3"/>
        <charset val="128"/>
        <scheme val="minor"/>
      </rPr>
      <t>RC-4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</si>
  <si>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ORC.4.1</t>
    <phoneticPr fontId="4"/>
  </si>
  <si>
    <t>PRES_ROUTE</t>
    <phoneticPr fontId="4"/>
  </si>
  <si>
    <t>投薬経路</t>
    <phoneticPr fontId="4"/>
  </si>
  <si>
    <t>HspPrescriptionDataのPRES_ROUTEの値を使用者定義表「0162-投薬経路」に定義されているコードに変換する。</t>
  </si>
  <si>
    <t>RXR-1</t>
    <phoneticPr fontId="4"/>
  </si>
  <si>
    <t>RXR.1.1</t>
    <phoneticPr fontId="4"/>
  </si>
  <si>
    <t>route_source_value</t>
  </si>
  <si>
    <t>【参考】
使用者定義表「0162-投薬経路」
PO：口
AP：外用
SC：皮下　など</t>
    <rPh sb="1" eb="3">
      <t>サンコウ</t>
    </rPh>
    <rPh sb="31" eb="33">
      <t>ガイヨウ</t>
    </rPh>
    <phoneticPr fontId="4"/>
  </si>
  <si>
    <t>PRES_SITE</t>
    <phoneticPr fontId="4"/>
  </si>
  <si>
    <t>投薬部位</t>
    <phoneticPr fontId="4"/>
  </si>
  <si>
    <t>HspPrescriptionDataのPRES_SITEの値をHL7表「0550－身体の部位」に定義されているコードに変換する。</t>
  </si>
  <si>
    <t>RXR-2</t>
  </si>
  <si>
    <t>RXR.2.1</t>
    <phoneticPr fontId="4"/>
  </si>
  <si>
    <t>外用指示の場合のみ使用する
【参考】
HL7表「0550－身体の部位」
複数部位を指定する場合、反復セパレータ「~」を使用して複数記述する</t>
    <rPh sb="36" eb="38">
      <t>フクスウ</t>
    </rPh>
    <rPh sb="38" eb="40">
      <t>ブイ</t>
    </rPh>
    <rPh sb="41" eb="43">
      <t>シテイ</t>
    </rPh>
    <phoneticPr fontId="4"/>
  </si>
  <si>
    <t>PRES_CLASSIFICATION</t>
    <phoneticPr fontId="4"/>
  </si>
  <si>
    <t>処方区分</t>
    <phoneticPr fontId="3"/>
  </si>
  <si>
    <t>HspPrescriptionDataのPRES_CLASSIFICATIONの値を表7.15.4 処方区分（MERIT-9 処方オーダ 表7）に定義されているコードに変換する。
例1　外来院外処方の場合　：OHP~OHO
例2　入院持参薬処方の場合：IHP~BDP</t>
    <phoneticPr fontId="4"/>
  </si>
  <si>
    <t>RXE-21</t>
    <phoneticPr fontId="4"/>
  </si>
  <si>
    <t>RXE-21.1</t>
    <phoneticPr fontId="4"/>
  </si>
  <si>
    <t>複数の処方区分を指定する場合、反復セパレータ「~」を使用して複数記述する
【参考】
表7.15.4 処方区分（MERIT-9 処方オーダ 表7）
OHP：外来処方
OHI：院内処方
OHO：院外処方
IHP：入院処方
DCG：退院処方
ORD：定期処方
XTR：臨時処方
JHSP表 0007 処方区分を参照
BDP：持参薬処方</t>
    <rPh sb="3" eb="7">
      <t>ショホウクブン</t>
    </rPh>
    <rPh sb="152" eb="154">
      <t>サンショウ</t>
    </rPh>
    <phoneticPr fontId="4"/>
  </si>
  <si>
    <t>PRES_ADMINISTRATION_TYPE</t>
    <phoneticPr fontId="4"/>
  </si>
  <si>
    <t>用法種別</t>
    <phoneticPr fontId="3"/>
  </si>
  <si>
    <t>HspPrescriptionDataのPRES_ADMINISTRATION_TYPEの値を「JHSP表 0003 用法種別」に定義されているコードに変換する。</t>
  </si>
  <si>
    <t>RXE-27</t>
    <phoneticPr fontId="4"/>
  </si>
  <si>
    <t>RXE-27.1</t>
    <phoneticPr fontId="4"/>
  </si>
  <si>
    <t>複数の用法識別を指定する場合、反復セパレータ「~」を使用して複数記述する
【参考】
「JHSP表 0003 用法種別」
21：内服
22：頓用
23：外用
24：自己注射
【OMOP】
ROUTE_SOURCE_VALUE に含まれる。
Y10|内服
Y20|内服（頓服）
Y30～Y59|外用（頓服含む）
Y60|自己注（皮下注射）</t>
    <rPh sb="3" eb="7">
      <t>ヨウホウシキベツ</t>
    </rPh>
    <rPh sb="142" eb="144">
      <t>サンショウチュウシャ</t>
    </rPh>
    <phoneticPr fontId="4"/>
  </si>
  <si>
    <t>PRES_START_DATE</t>
    <phoneticPr fontId="4"/>
  </si>
  <si>
    <t>投薬開始日</t>
    <phoneticPr fontId="3"/>
  </si>
  <si>
    <t>HspPrescriptionDataのPRES_START_DATEの値を設定する。</t>
  </si>
  <si>
    <t>TQ1-7</t>
    <phoneticPr fontId="4"/>
  </si>
  <si>
    <t>TQ1.7.1</t>
    <phoneticPr fontId="4"/>
  </si>
  <si>
    <t>PRES_END_DATE</t>
    <phoneticPr fontId="4"/>
  </si>
  <si>
    <t>投薬終了日</t>
    <phoneticPr fontId="3"/>
  </si>
  <si>
    <t>HspPrescriptionDataのPRES_END_DATEの値を設定する。</t>
  </si>
  <si>
    <t>TQ1-8</t>
  </si>
  <si>
    <t>TQ1.8.1</t>
    <phoneticPr fontId="4"/>
  </si>
  <si>
    <t>SCH_PRES_START_DATE</t>
    <phoneticPr fontId="4"/>
  </si>
  <si>
    <t>投薬開始日（日付型）</t>
    <rPh sb="0" eb="2">
      <t>トウヤク</t>
    </rPh>
    <phoneticPr fontId="4"/>
  </si>
  <si>
    <t>HspPrescriptionDataのSCH_PRES_START_DATEの値を設定する。</t>
    <phoneticPr fontId="4"/>
  </si>
  <si>
    <t>0001-12-31</t>
  </si>
  <si>
    <t>drug_exposure_start_date</t>
  </si>
  <si>
    <t>SCH_PRES_END_DATE</t>
    <phoneticPr fontId="4"/>
  </si>
  <si>
    <t>投薬終了日（日付型）</t>
    <rPh sb="0" eb="2">
      <t>トウヤク</t>
    </rPh>
    <phoneticPr fontId="4"/>
  </si>
  <si>
    <t>HspPrescriptionDataのSCH_PRES_END_DATEの値を設定する。</t>
    <phoneticPr fontId="4"/>
  </si>
  <si>
    <t>drug_exposure_end_date</t>
  </si>
  <si>
    <t>PRES_MEDICINE_CD_YJ</t>
    <phoneticPr fontId="4"/>
  </si>
  <si>
    <t>YJコード</t>
    <phoneticPr fontId="3"/>
  </si>
  <si>
    <t>HspPrescriptionDataのPRES_MEDICINE_CD_YJの値を設定する。初期値が設定されている場合は変換マスタによりConvMstPresMedicineCodeのPRES_MEDICINE_CD_YJの値を設定する。</t>
    <phoneticPr fontId="4"/>
  </si>
  <si>
    <t>drug_source_value</t>
  </si>
  <si>
    <t>【OMOP】
DRUG_SOURCE_VALUE に含まれる。
HD1|I0002277|マグラックス錠 330mg
ID1|I0002467|ｾﾌﾄﾘｱｷｿﾝNa静注用1g「日医工」</t>
    <phoneticPr fontId="4"/>
  </si>
  <si>
    <t>SCH_PRES_MEDICINE_CD_YJ4</t>
  </si>
  <si>
    <t>YJコード（4桁）</t>
    <rPh sb="7" eb="8">
      <t>ケタ</t>
    </rPh>
    <phoneticPr fontId="3"/>
  </si>
  <si>
    <t>HspPrescriptionDataのSCH_PRES_MEDICINE_CD_YJ4の値を設定する。初期値が設定されている場合は変換マスタによりConvMstPresMedicineCodeのPRES_MEDICINE_CD_YJの頭から4桁を設定する。</t>
    <phoneticPr fontId="4"/>
  </si>
  <si>
    <t>SCH_PRES_MEDICINE_CD_YJ7</t>
  </si>
  <si>
    <t>YJコード（7桁）</t>
    <rPh sb="7" eb="8">
      <t>ケタ</t>
    </rPh>
    <phoneticPr fontId="3"/>
  </si>
  <si>
    <t>HspPrescriptionDataのPRES_MEDICINE_CD_YJの値を設定する。初期値が設定されている場合は変換マスタによりConvMstPresMedicineCodeのPRES_MEDICINE_CD_YJの頭から7桁を設定する。</t>
    <phoneticPr fontId="4"/>
  </si>
  <si>
    <t>PRES_MEDICINE_CD_HOT</t>
    <phoneticPr fontId="4"/>
  </si>
  <si>
    <t>HOTコード</t>
    <phoneticPr fontId="3"/>
  </si>
  <si>
    <t>HspPrescriptionDataのPRES_MEDICINE_CD_HOTの値を設定する。初期値が設定されている場合は変換マスタによりConvMstPresMedicineCodeのPRES_MEDICINE_CD_HOTの値を設定する。</t>
    <phoneticPr fontId="4"/>
  </si>
  <si>
    <t>RXE-2</t>
  </si>
  <si>
    <t>RXE.2.1</t>
    <phoneticPr fontId="4"/>
  </si>
  <si>
    <t>SCH_PRES_MEDICINE_CD_HOT7</t>
  </si>
  <si>
    <t>HOTコード（7桁）</t>
    <rPh sb="8" eb="9">
      <t>ケタ</t>
    </rPh>
    <phoneticPr fontId="3"/>
  </si>
  <si>
    <t>HspPrescriptionDataのPRES_MEDICINE_CD_HOTの値を設定する。初期値が設定されている場合は変換マスタによりConvMstPresMedicineCodeのPRES_MEDICINE_CD_HOTの頭から7桁を設定する。</t>
    <phoneticPr fontId="4"/>
  </si>
  <si>
    <t>SCH_PRES_MEDICINE_CD_HOT9</t>
  </si>
  <si>
    <t>HOTコード（9桁）</t>
    <rPh sb="8" eb="9">
      <t>ケタ</t>
    </rPh>
    <phoneticPr fontId="3"/>
  </si>
  <si>
    <t>HspPrescriptionDataのPRES_MEDICINE_CD_HOTの値を設定する。初期値が設定されている場合は変換マスタによりConvMstPresMedicineCodeのPRES_MEDICINE_CD_HOTの頭から9桁を設定する。9桁に満たない場合は初期値を設定する。</t>
    <phoneticPr fontId="4"/>
  </si>
  <si>
    <t>PRES_MEDICINE_CD_L</t>
    <phoneticPr fontId="4"/>
  </si>
  <si>
    <t>薬剤コード</t>
    <phoneticPr fontId="3"/>
  </si>
  <si>
    <t>HspPrescriptionDataのPRES_MEDICINE_CD_Lの値を設定する。</t>
  </si>
  <si>
    <t>RXE.2.4</t>
    <phoneticPr fontId="4"/>
  </si>
  <si>
    <t>PRES_MEDICINE_NAME_L</t>
    <phoneticPr fontId="4"/>
  </si>
  <si>
    <t>薬剤名称</t>
    <phoneticPr fontId="3"/>
  </si>
  <si>
    <t>HspPrescriptionDataのPRES_MEDICINE_NAME_Lの値を設定する。</t>
  </si>
  <si>
    <t>RXE.2.5</t>
  </si>
  <si>
    <t>PRES_DOSAGE_MIN</t>
    <phoneticPr fontId="4"/>
  </si>
  <si>
    <t>最小与薬量</t>
    <phoneticPr fontId="3"/>
  </si>
  <si>
    <t>HspPrescriptionDataのPRES_DOSAGE_MINの値を設定する。</t>
  </si>
  <si>
    <t>RXE-3</t>
  </si>
  <si>
    <t>RXE.3</t>
    <phoneticPr fontId="4"/>
  </si>
  <si>
    <t>JAHIS処方データ交換規約Ver3.0Cの付録-1を参照</t>
    <rPh sb="22" eb="24">
      <t>フロク</t>
    </rPh>
    <rPh sb="27" eb="29">
      <t>サンショウ</t>
    </rPh>
    <phoneticPr fontId="4"/>
  </si>
  <si>
    <t>PRES_DOSAGE_MAX</t>
    <phoneticPr fontId="4"/>
  </si>
  <si>
    <t>最大与薬量</t>
    <phoneticPr fontId="3"/>
  </si>
  <si>
    <t>HspPrescriptionDataのPRES_DOSAGE_MAXの値を設定する。</t>
  </si>
  <si>
    <t>RXE-4</t>
    <phoneticPr fontId="4"/>
  </si>
  <si>
    <t>RXE.4</t>
  </si>
  <si>
    <t>PRES_DOSAGE_UNIT_CD_S</t>
    <phoneticPr fontId="4"/>
  </si>
  <si>
    <t>与薬単位標準コード</t>
    <rPh sb="4" eb="6">
      <t>ヒョウジュン</t>
    </rPh>
    <phoneticPr fontId="4"/>
  </si>
  <si>
    <t>変換マスタによりHspPrescriptionDataのPRES_DOSAGE_UNIT_CD_Lに対応する標準単位コードを設定する。</t>
    <rPh sb="0" eb="2">
      <t>ヘンカン</t>
    </rPh>
    <rPh sb="50" eb="52">
      <t>タイオウ</t>
    </rPh>
    <rPh sb="54" eb="56">
      <t>ヒョウジュン</t>
    </rPh>
    <rPh sb="56" eb="58">
      <t>タンイ</t>
    </rPh>
    <rPh sb="62" eb="64">
      <t>セッテイ</t>
    </rPh>
    <phoneticPr fontId="4"/>
  </si>
  <si>
    <t>PRES_DOSAGE_UNIT_CD_L</t>
    <phoneticPr fontId="4"/>
  </si>
  <si>
    <t>与薬単位コード</t>
    <phoneticPr fontId="4"/>
  </si>
  <si>
    <t>HspPrescriptionDataのPRES_DOSAGE_UNIT_CD_Lの値を設定する。</t>
    <phoneticPr fontId="4"/>
  </si>
  <si>
    <t>RXE-5</t>
  </si>
  <si>
    <t>RXE.5.1
または
RXE.5.4</t>
    <phoneticPr fontId="4"/>
  </si>
  <si>
    <t>PRES_DOSAGE_UNIT_NAME_L</t>
    <phoneticPr fontId="4"/>
  </si>
  <si>
    <t>与薬単位名称</t>
    <rPh sb="4" eb="6">
      <t>メイショウ</t>
    </rPh>
    <phoneticPr fontId="4"/>
  </si>
  <si>
    <t>HspPrescriptionDataのPRES_DOSAGE_UNIT_NAME_Lの値を設定する。</t>
    <phoneticPr fontId="4"/>
  </si>
  <si>
    <t>RXE.5.2
または
RXE.5.5</t>
    <phoneticPr fontId="4"/>
  </si>
  <si>
    <t>PRES_DISPENSE_AMOUNT</t>
    <phoneticPr fontId="4"/>
  </si>
  <si>
    <t>調剤量</t>
    <phoneticPr fontId="3"/>
  </si>
  <si>
    <t>HspPrescriptionDataのPRES_DISPENSE_AMOUNTの値を設定する。</t>
  </si>
  <si>
    <t>RXE-10</t>
  </si>
  <si>
    <t>RXE.10</t>
    <phoneticPr fontId="4"/>
  </si>
  <si>
    <t>quantity</t>
  </si>
  <si>
    <t>PRES_DISPENSE_UNIT_CD_S</t>
    <phoneticPr fontId="4"/>
  </si>
  <si>
    <t>調剤量単位標準コード</t>
    <rPh sb="5" eb="7">
      <t>ヒョウジュン</t>
    </rPh>
    <phoneticPr fontId="3"/>
  </si>
  <si>
    <t>変換マスタによりHspPrescriptionDataのPRES_DISPENSE_UNIT_CD_Lに対応する標準単位コードを設定する。</t>
    <rPh sb="0" eb="2">
      <t>ヘンカン</t>
    </rPh>
    <rPh sb="52" eb="54">
      <t>タイオウ</t>
    </rPh>
    <rPh sb="56" eb="58">
      <t>ヒョウジュン</t>
    </rPh>
    <rPh sb="58" eb="60">
      <t>タンイ</t>
    </rPh>
    <rPh sb="64" eb="66">
      <t>セッテイ</t>
    </rPh>
    <phoneticPr fontId="4"/>
  </si>
  <si>
    <t>dose_unit_source_value</t>
    <phoneticPr fontId="4"/>
  </si>
  <si>
    <t>PRES_DISPENSE_UNIT_CD_L</t>
    <phoneticPr fontId="4"/>
  </si>
  <si>
    <t>調剤量単位コード</t>
    <phoneticPr fontId="3"/>
  </si>
  <si>
    <t>HspPrescriptionDataのPRES_DISPENSE_UNIT_CD_Lの値を設定する。</t>
  </si>
  <si>
    <t>RXE-11</t>
  </si>
  <si>
    <t>RXE.11.1
または
RXE.11.4</t>
  </si>
  <si>
    <t>PRES_DISPENSE_UNIT_NAME_L</t>
    <phoneticPr fontId="4"/>
  </si>
  <si>
    <t>調剤量単位名称</t>
    <phoneticPr fontId="3"/>
  </si>
  <si>
    <t>HspPrescriptionDataのPRES_DISPENSE_UNIT_NAME_Lの値を設定する。</t>
  </si>
  <si>
    <t>RXE.11.2
または
RXE.11.5</t>
  </si>
  <si>
    <t>dose_unit_source_value</t>
  </si>
  <si>
    <t>PRES_TOTAL_QUANTITY</t>
    <phoneticPr fontId="4"/>
  </si>
  <si>
    <t>1 日あたりの総投与量</t>
    <phoneticPr fontId="3"/>
  </si>
  <si>
    <t>HspPrescriptionDataのPRES_TOTAL_QUANTITYの値を設定する。</t>
  </si>
  <si>
    <t>RXE-19</t>
  </si>
  <si>
    <t>RXE.19.1</t>
    <phoneticPr fontId="4"/>
  </si>
  <si>
    <t>PRES_TOTAL_UNIT_CD_S</t>
    <phoneticPr fontId="4"/>
  </si>
  <si>
    <t>総投与量単位標準コード</t>
    <rPh sb="6" eb="8">
      <t>ヒョウジュン</t>
    </rPh>
    <phoneticPr fontId="3"/>
  </si>
  <si>
    <t>変換マスタによりHspPrescriptionDataのPRES_TOTAL_UNIT_CD_Lに対応する標準単位コードを設定する。</t>
    <rPh sb="0" eb="2">
      <t>ヘンカン</t>
    </rPh>
    <rPh sb="49" eb="51">
      <t>タイオウ</t>
    </rPh>
    <rPh sb="53" eb="55">
      <t>ヒョウジュン</t>
    </rPh>
    <rPh sb="55" eb="57">
      <t>タンイ</t>
    </rPh>
    <rPh sb="61" eb="63">
      <t>セッテイ</t>
    </rPh>
    <phoneticPr fontId="4"/>
  </si>
  <si>
    <t>PRES_TOTAL_UNIT_CD_L</t>
    <phoneticPr fontId="4"/>
  </si>
  <si>
    <t>総投与量単位コード</t>
    <phoneticPr fontId="3"/>
  </si>
  <si>
    <t>HspPrescriptionDataのPRES_TOTAL_UNIT_CD_Lの値を設定する。</t>
  </si>
  <si>
    <t>RXE.19.2</t>
  </si>
  <si>
    <t>PRES_TOTAL_UNIT_NAME_L</t>
    <phoneticPr fontId="4"/>
  </si>
  <si>
    <t>総投与量単位名称</t>
    <phoneticPr fontId="3"/>
  </si>
  <si>
    <t>HspPrescriptionDataのPRES_TOTAL_UNIT_NAME_Lの値を設定する。</t>
  </si>
  <si>
    <t>PRES_PERIOD</t>
    <phoneticPr fontId="4"/>
  </si>
  <si>
    <t>投与日数</t>
    <phoneticPr fontId="3"/>
  </si>
  <si>
    <t>HspPrescriptionDataのPRES_PERIODの値を設定する。</t>
  </si>
  <si>
    <t>TQ1-6</t>
  </si>
  <si>
    <t>TQ1.6.1</t>
    <phoneticPr fontId="4"/>
  </si>
  <si>
    <t>days_supply</t>
  </si>
  <si>
    <t>PRES_ACTUAL_DAYS</t>
    <phoneticPr fontId="4"/>
  </si>
  <si>
    <t>投与実日数</t>
    <phoneticPr fontId="3"/>
  </si>
  <si>
    <t>HspPrescriptionDataのPRES_ACTUAL_DAYSの値を設定する。</t>
  </si>
  <si>
    <t>TQ1-14</t>
    <phoneticPr fontId="4"/>
  </si>
  <si>
    <t>TQ1.14</t>
    <phoneticPr fontId="4"/>
  </si>
  <si>
    <t>PRES_ADMINISTRATION_CD_S</t>
    <phoneticPr fontId="4"/>
  </si>
  <si>
    <t>標準用法コード</t>
    <rPh sb="0" eb="2">
      <t>ヒョウジュン</t>
    </rPh>
    <rPh sb="2" eb="4">
      <t>ヨウホウ</t>
    </rPh>
    <phoneticPr fontId="4"/>
  </si>
  <si>
    <t>変換マスタによりHspPrescriptionDataのPRES_ADMINISTRATION_CD_Lに対応する標準用法コードを設定する。</t>
    <rPh sb="0" eb="2">
      <t>ヘンカン</t>
    </rPh>
    <rPh sb="53" eb="55">
      <t>タイオウ</t>
    </rPh>
    <rPh sb="57" eb="59">
      <t>ヒョウジュン</t>
    </rPh>
    <rPh sb="59" eb="61">
      <t>ヨウホウ</t>
    </rPh>
    <rPh sb="65" eb="67">
      <t>セッテイ</t>
    </rPh>
    <phoneticPr fontId="4"/>
  </si>
  <si>
    <t>sig</t>
    <phoneticPr fontId="4"/>
  </si>
  <si>
    <t>PRES_ADMINISTRATION_NAME_S</t>
    <phoneticPr fontId="4"/>
  </si>
  <si>
    <t>標準用法テキスト</t>
    <rPh sb="0" eb="2">
      <t>ヒョウジュン</t>
    </rPh>
    <phoneticPr fontId="4"/>
  </si>
  <si>
    <t>変換マスタによりHspPrescriptionDataのPRES_ADMINISTRATION_CD_Lに対応する標準用法名称を設定する。</t>
    <rPh sb="0" eb="2">
      <t>ヘンカン</t>
    </rPh>
    <rPh sb="53" eb="55">
      <t>タイオウ</t>
    </rPh>
    <rPh sb="57" eb="59">
      <t>ヒョウジュン</t>
    </rPh>
    <rPh sb="59" eb="61">
      <t>ヨウホウ</t>
    </rPh>
    <rPh sb="61" eb="63">
      <t>メイショウ</t>
    </rPh>
    <rPh sb="64" eb="66">
      <t>セッテイ</t>
    </rPh>
    <phoneticPr fontId="4"/>
  </si>
  <si>
    <t>PRES_ADMINISTRATION_CD_L</t>
    <phoneticPr fontId="4"/>
  </si>
  <si>
    <t>用法コード</t>
  </si>
  <si>
    <t>HspPrescriptionDataのPRES_ADMINISTRATION_CD_Lの値を設定する。</t>
  </si>
  <si>
    <t>TQ1-3</t>
  </si>
  <si>
    <t>TQ1.3.1.1
または
TQ1.3.1.4</t>
    <phoneticPr fontId="4"/>
  </si>
  <si>
    <t>【OMOP】
SIG に含まれる。
点滴静注 末梢ﾙｰﾄﾒｲﾝ１|Y6100001|注射用法　１日１回Y1040001|１日４回 毎食後・寝る前</t>
    <phoneticPr fontId="4"/>
  </si>
  <si>
    <t>PRES_ADMINISTRATION_NAME_L</t>
    <phoneticPr fontId="4"/>
  </si>
  <si>
    <t>用法テキスト</t>
  </si>
  <si>
    <t>HspPrescriptionDataのPRES_ADMINISTRATION_NAME_Lの値を設定する。</t>
  </si>
  <si>
    <t>TQ1.3.1.2
または
TQ1.3.1.5</t>
    <phoneticPr fontId="4"/>
  </si>
  <si>
    <t>sig</t>
  </si>
  <si>
    <t>PRES_SUPPLEMENT_CD_S</t>
    <phoneticPr fontId="4"/>
  </si>
  <si>
    <t>標準補足用法コード</t>
    <rPh sb="0" eb="2">
      <t>ヒョウジュン</t>
    </rPh>
    <phoneticPr fontId="4"/>
  </si>
  <si>
    <t>変換マスタによりHspPrescriptionDataのPRES_SUPPLEMENT_CD_Lに対応する標準補足用法コードを設定する。</t>
    <rPh sb="0" eb="2">
      <t>ヘンカン</t>
    </rPh>
    <rPh sb="49" eb="51">
      <t>タイオウ</t>
    </rPh>
    <rPh sb="53" eb="55">
      <t>ヒョウジュン</t>
    </rPh>
    <rPh sb="55" eb="57">
      <t>ホソク</t>
    </rPh>
    <rPh sb="57" eb="59">
      <t>ヨウホウ</t>
    </rPh>
    <rPh sb="63" eb="65">
      <t>セッテイ</t>
    </rPh>
    <phoneticPr fontId="4"/>
  </si>
  <si>
    <t>PRES_SUPPLEMENT_NAME_S</t>
    <phoneticPr fontId="4"/>
  </si>
  <si>
    <t>標準補足用法名称</t>
    <rPh sb="0" eb="2">
      <t>ヒョウジュン</t>
    </rPh>
    <phoneticPr fontId="4"/>
  </si>
  <si>
    <t>変換マスタによりHspPrescriptionDataのPRES_SUPPLEMENT_CD_Lに対応する標準補足用法名称を設定する。</t>
    <rPh sb="0" eb="2">
      <t>ヘンカン</t>
    </rPh>
    <rPh sb="49" eb="51">
      <t>タイオウ</t>
    </rPh>
    <rPh sb="53" eb="55">
      <t>ヒョウジュン</t>
    </rPh>
    <rPh sb="55" eb="57">
      <t>ホソク</t>
    </rPh>
    <rPh sb="57" eb="59">
      <t>ヨウホウ</t>
    </rPh>
    <rPh sb="59" eb="61">
      <t>メイショウ</t>
    </rPh>
    <rPh sb="62" eb="64">
      <t>セッテイ</t>
    </rPh>
    <phoneticPr fontId="4"/>
  </si>
  <si>
    <t>PRES_SUPPLEMENT_CD_L</t>
    <phoneticPr fontId="4"/>
  </si>
  <si>
    <t>補足用法コード</t>
  </si>
  <si>
    <t>HspPrescriptionDataのPRES_SUPPLEMENT_CD_Lの値を設定する。</t>
  </si>
  <si>
    <t>PRES_SUPPLEMENT_NAME_L</t>
    <phoneticPr fontId="4"/>
  </si>
  <si>
    <t>補足用法名称</t>
  </si>
  <si>
    <t>HspPrescriptionDataのPRES_SUPPLEMENT_NAME_Lの値を設定する。</t>
  </si>
  <si>
    <t>PRES_RP_COMMENT</t>
    <phoneticPr fontId="4"/>
  </si>
  <si>
    <t>用法コメント</t>
  </si>
  <si>
    <t>HspPrescriptionDataのPRES_RP_COMMENTの値を設定する。</t>
  </si>
  <si>
    <t>TQ1-11</t>
  </si>
  <si>
    <t>TQ1.11</t>
    <phoneticPr fontId="4"/>
  </si>
  <si>
    <t>PRES_INSTRUCTIONS_CD</t>
    <phoneticPr fontId="4"/>
  </si>
  <si>
    <t>依頼者の投薬指示コード</t>
  </si>
  <si>
    <t>HspPrescriptionDataのPRES_INSTRUCTIONS_CDの値を設定する。</t>
  </si>
  <si>
    <t>RXE-7</t>
  </si>
  <si>
    <t>RXE7.1</t>
    <phoneticPr fontId="4"/>
  </si>
  <si>
    <t>PRES_INSTRUCTIONS_NAME</t>
    <phoneticPr fontId="4"/>
  </si>
  <si>
    <t>依頼者の投薬指示内容</t>
  </si>
  <si>
    <t>HspPrescriptionDataのPRES_INSTRUCTIONS_NAMEの値を設定する。</t>
  </si>
  <si>
    <t>RXE7.2</t>
  </si>
  <si>
    <t>PRES_START_AGE</t>
  </si>
  <si>
    <t>投薬開始日年齢</t>
    <rPh sb="5" eb="7">
      <t>ネンレイ</t>
    </rPh>
    <phoneticPr fontId="4"/>
  </si>
  <si>
    <t>HspPrescriptionDataのPRES_START_AGEの値を設定する。</t>
  </si>
  <si>
    <t>投薬開始日が2023/4/1で、
生年月日が1950/1/1の場合は「73」
生年月日が2023/1/1の場合は「0」</t>
    <rPh sb="31" eb="33">
      <t>バアイ</t>
    </rPh>
    <rPh sb="53" eb="55">
      <t>バアイ</t>
    </rPh>
    <phoneticPr fontId="4"/>
  </si>
  <si>
    <t>PRES_START_MONTHS</t>
  </si>
  <si>
    <t>投薬開始日月齢</t>
    <rPh sb="5" eb="7">
      <t>ゲツレイ</t>
    </rPh>
    <phoneticPr fontId="4"/>
  </si>
  <si>
    <t>HspPrescriptionDataのPRES_START_MONTHSの値を設定する。</t>
  </si>
  <si>
    <t>投薬開始日が2023/4/1で、
生年月日が1950/1/1の場合は「879」
生年月日が2023/1/1の場合は「3」
投薬開始日時点が2歳未満の場合は必須とする</t>
    <rPh sb="2" eb="5">
      <t>カイシビ</t>
    </rPh>
    <rPh sb="17" eb="19">
      <t>セイネン</t>
    </rPh>
    <rPh sb="19" eb="21">
      <t>ガッピ</t>
    </rPh>
    <rPh sb="31" eb="33">
      <t>バアイ</t>
    </rPh>
    <rPh sb="40" eb="42">
      <t>セイネン</t>
    </rPh>
    <rPh sb="42" eb="44">
      <t>ガッピ</t>
    </rPh>
    <rPh sb="54" eb="56">
      <t>バアイ</t>
    </rPh>
    <rPh sb="66" eb="68">
      <t>ジテン</t>
    </rPh>
    <rPh sb="70" eb="73">
      <t>サイミマン</t>
    </rPh>
    <rPh sb="74" eb="76">
      <t>バアイ</t>
    </rPh>
    <rPh sb="77" eb="79">
      <t>ヒッス</t>
    </rPh>
    <phoneticPr fontId="4"/>
  </si>
  <si>
    <t>PRES_START_DAYS</t>
  </si>
  <si>
    <t>投薬開始日日齢</t>
    <rPh sb="5" eb="7">
      <t>ニチレイ</t>
    </rPh>
    <phoneticPr fontId="4"/>
  </si>
  <si>
    <t>HspPrescriptionDataのPRES_START_DAYSの値を設定する。</t>
  </si>
  <si>
    <t>投薬開始日が2023/4/1で、
生年月日が1950/1/1の場合は「26735」
生年月日が2023/1/1の場合は「90」
投薬開始日時点で生後90日未満の場合は必須とする</t>
    <rPh sb="2" eb="5">
      <t>カイシビ</t>
    </rPh>
    <rPh sb="17" eb="19">
      <t>セイネン</t>
    </rPh>
    <rPh sb="19" eb="21">
      <t>ガッピ</t>
    </rPh>
    <rPh sb="31" eb="33">
      <t>バアイ</t>
    </rPh>
    <rPh sb="42" eb="44">
      <t>セイネン</t>
    </rPh>
    <rPh sb="44" eb="46">
      <t>ガッピ</t>
    </rPh>
    <rPh sb="56" eb="58">
      <t>バアイ</t>
    </rPh>
    <rPh sb="69" eb="71">
      <t>ジテン</t>
    </rPh>
    <rPh sb="72" eb="74">
      <t>セイゴ</t>
    </rPh>
    <rPh sb="76" eb="77">
      <t>ニチ</t>
    </rPh>
    <rPh sb="77" eb="79">
      <t>ミマン</t>
    </rPh>
    <rPh sb="80" eb="82">
      <t>バアイ</t>
    </rPh>
    <rPh sb="83" eb="85">
      <t>ヒッス</t>
    </rPh>
    <phoneticPr fontId="4"/>
  </si>
  <si>
    <t>HspPrescriptionDataのDATA_UPDATE_DATEの値を設定する。</t>
  </si>
  <si>
    <t>HspPrescriptionDataのTS_TABLE_UPDATEの値を設定する。</t>
  </si>
  <si>
    <t>InjectionData（臨中ネット注射データテーブル）</t>
    <rPh sb="14" eb="16">
      <t>リンチュウ</t>
    </rPh>
    <rPh sb="19" eb="21">
      <t>チュウシャ</t>
    </rPh>
    <phoneticPr fontId="4"/>
  </si>
  <si>
    <t>患者の注射の実施についての情報を提供する。</t>
    <rPh sb="3" eb="5">
      <t>チュウシャ</t>
    </rPh>
    <rPh sb="6" eb="8">
      <t>ジッシ</t>
    </rPh>
    <phoneticPr fontId="4"/>
  </si>
  <si>
    <t>SS-MIX2からデータを取り込む場合は「SS-MIX2」の項目を参照のこと。SS-MIX2は「RAS^O17 メッセージ（薬剤（処方／注射）の実施情報）」を利用する。取消メッセージがある場合は対象となる記録を削除すること。</t>
    <rPh sb="13" eb="14">
      <t>ト</t>
    </rPh>
    <rPh sb="15" eb="16">
      <t>コ</t>
    </rPh>
    <rPh sb="17" eb="19">
      <t>バアイ</t>
    </rPh>
    <rPh sb="30" eb="32">
      <t>コウモク</t>
    </rPh>
    <rPh sb="33" eb="35">
      <t>サンショウ</t>
    </rPh>
    <rPh sb="79" eb="81">
      <t>リヨウ</t>
    </rPh>
    <phoneticPr fontId="4"/>
  </si>
  <si>
    <t>HspInjectionData（病院オリジナル注射テーブル）で個別に取消されるレコードを除外する。ORDER_CONTROLが「CA」のものは抽出対象外とする。</t>
    <rPh sb="32" eb="34">
      <t>コベツ</t>
    </rPh>
    <rPh sb="35" eb="37">
      <t>トリケシ</t>
    </rPh>
    <rPh sb="45" eb="47">
      <t>ジョガイ</t>
    </rPh>
    <rPh sb="72" eb="74">
      <t>チュウシュツ</t>
    </rPh>
    <rPh sb="74" eb="77">
      <t>タイショウガイ</t>
    </rPh>
    <phoneticPr fontId="4"/>
  </si>
  <si>
    <t>INJ_UNIQUE_ID</t>
  </si>
  <si>
    <t>HspInjectionDataのINJ_UNIQUE_IDの値を設定する。</t>
  </si>
  <si>
    <t>PatientIDExchangeによりHspInjectionDataのPATIENT_IDに対応する検索用患者IDを設定する。</t>
    <rPh sb="48" eb="50">
      <t>タイオウ</t>
    </rPh>
    <rPh sb="60" eb="62">
      <t>セッテイ</t>
    </rPh>
    <phoneticPr fontId="4"/>
  </si>
  <si>
    <t>HspInjectionDataのDEPT_CD_Lの値を「SS-MIX2 統一診療科コード表 V1.0」に定義されているコードに変換する。</t>
  </si>
  <si>
    <t>HspInjectionDataのDEPT_CD_Lの値を設定する。</t>
  </si>
  <si>
    <t>HspInjectionDataのDEPT_NAME_Lの値を設定する。</t>
  </si>
  <si>
    <t>HspInjectionDataのPLACER_ORDER_NOの値を設定する。</t>
  </si>
  <si>
    <t>HspInjectionDataのRP_NOの値を設定する。</t>
  </si>
  <si>
    <t>INJ_ROUTE</t>
  </si>
  <si>
    <t>HspInjectionDataのINJ_ROUTEの値を使用者定義表「0162-投薬経路」に定義されているコードに変換する。</t>
    <phoneticPr fontId="4"/>
  </si>
  <si>
    <t>INJ_ADMINISTRATIVE_METHOD</t>
    <phoneticPr fontId="4"/>
  </si>
  <si>
    <t>投薬方法</t>
  </si>
  <si>
    <t>HspInjectionDataのINJ_ADMINISTRATIVE_METHODの値を使用者定義表「0165-投薬方法」、「JHSI 表 0003-精密持続点滴」に定義されているコードに変換する。</t>
    <phoneticPr fontId="4"/>
  </si>
  <si>
    <t>RXR-4</t>
    <phoneticPr fontId="4"/>
  </si>
  <si>
    <t>RXR.4.1
および
RXR.4.2</t>
    <phoneticPr fontId="4"/>
  </si>
  <si>
    <t>INJ_START_DATE</t>
  </si>
  <si>
    <t>HspInjectionDataのINJ_START_DATEの値を設定する。</t>
  </si>
  <si>
    <t>RXA-3</t>
  </si>
  <si>
    <t>RXA.3.1</t>
    <phoneticPr fontId="4"/>
  </si>
  <si>
    <t>INJ_START_TIME</t>
    <phoneticPr fontId="4"/>
  </si>
  <si>
    <t>投薬開始時刻</t>
    <rPh sb="4" eb="6">
      <t>ジコク</t>
    </rPh>
    <phoneticPr fontId="3"/>
  </si>
  <si>
    <t>HspInjectionDataのINJ_START_TIMEの値を設定する。</t>
    <phoneticPr fontId="4"/>
  </si>
  <si>
    <t>INJ_END_DATE</t>
  </si>
  <si>
    <t>HspInjectionDataのINJ_END_DATEの値を設定する。</t>
  </si>
  <si>
    <t>RXA-4</t>
  </si>
  <si>
    <t>RXA.4.1</t>
    <phoneticPr fontId="4"/>
  </si>
  <si>
    <t>INJ_END_TIME</t>
    <phoneticPr fontId="4"/>
  </si>
  <si>
    <t>投薬終了時刻</t>
    <rPh sb="4" eb="6">
      <t>ジコク</t>
    </rPh>
    <phoneticPr fontId="3"/>
  </si>
  <si>
    <t>HspInjectionDataのINJ_END_TIMEの値を設定する。</t>
    <phoneticPr fontId="4"/>
  </si>
  <si>
    <t>SCH_INJ_START_DATE</t>
  </si>
  <si>
    <t>HspInjectionDataのSCH_INJ_START_DATEの値を設定する。</t>
    <phoneticPr fontId="4"/>
  </si>
  <si>
    <t>SCH_INJ_END_DATE</t>
  </si>
  <si>
    <t>HspInjectionDataのSCH_INJ_END_DATEの値を設定する。</t>
    <phoneticPr fontId="4"/>
  </si>
  <si>
    <t>INJ_MEDICINE_CD_YJ</t>
  </si>
  <si>
    <t>HspInjectionDataのINJ_MEDICINE_CD_YJの値を設定する。初期値が設定されている場合は変換マスタによりConvMstInjMedicineCodeのINJ_MEDICINE_CD_YJの値を設定する。</t>
    <rPh sb="107" eb="108">
      <t>アタイ</t>
    </rPh>
    <rPh sb="109" eb="111">
      <t>セッテイ</t>
    </rPh>
    <phoneticPr fontId="4"/>
  </si>
  <si>
    <t>SCH_INJ_MEDICINE_CD_YJ4</t>
  </si>
  <si>
    <t>HspInjectionDataのSCH_INJ_MEDICINE_CD_YJ4の値を設定する。初期値が設定されている場合は変換マスタによりConvMstInjMedicineCodeのINJ_MEDICINE_CD_YJの頭から4桁を設定する。</t>
    <phoneticPr fontId="4"/>
  </si>
  <si>
    <t>SCH_INJ_MEDICINE_CD_YJ7</t>
  </si>
  <si>
    <t>HspInjectionDataのINJ_MEDICINE_CD_YJの値を設定する。初期値が設定されている場合は変換マスタによりConvMstInjMedicineCodeのINJ_MEDICINE_CD_YJの頭から7桁を設定する。</t>
    <phoneticPr fontId="4"/>
  </si>
  <si>
    <t>INJ_MEDICINE_CD_HOT</t>
  </si>
  <si>
    <t>HspInjectionDataのINJ_MEDICINE_CD_HOTの値を設定する。初期値が設定されている場合は変換マスタによりConvMstInjMedicineCodeのINJ_MEDICINE_CD_HOTの値を設定する。</t>
    <phoneticPr fontId="4"/>
  </si>
  <si>
    <t>RXA-5</t>
  </si>
  <si>
    <t>RXA.5.1</t>
    <phoneticPr fontId="4"/>
  </si>
  <si>
    <t>SCH_INJ_MEDICINE_CD_HOT7</t>
  </si>
  <si>
    <t>HspInjectionDataのINJ_MEDICINE_CD_HOTの値を設定する。初期値が設定されている場合は変換マスタによりConvMstInjMedicineCodeのINJ_MEDICINE_CD_HOTの頭から7桁を設定する。</t>
    <phoneticPr fontId="4"/>
  </si>
  <si>
    <t>SCH_INJ_MEDICINE_CD_HOT9</t>
  </si>
  <si>
    <t>HspInjectionDataのINJ_MEDICINE_CD_HOTの値を設定する。初期値が設定されている場合は変換マスタによりConvMstInjMedicineCodeのINJ_MEDICINE_CD_HOTの頭から9桁を設定する。9桁に満たない場合は初期値を設定する。</t>
    <phoneticPr fontId="4"/>
  </si>
  <si>
    <t>INJ_MEDICINE_CD_L</t>
  </si>
  <si>
    <t>HspInjectionDataのINJ_MEDICINE_CD_Lの値を設定する。</t>
  </si>
  <si>
    <t>RXA.5.4</t>
    <phoneticPr fontId="4"/>
  </si>
  <si>
    <t>INJ_MEDICINE_NAME_L</t>
  </si>
  <si>
    <t>HspInjectionDataのINJ_MEDICINE_NAME_Lの値を設定する。</t>
  </si>
  <si>
    <t>RXA.5.5</t>
  </si>
  <si>
    <t>INJ_ADMINISTERED_AMOUNT</t>
    <phoneticPr fontId="4"/>
  </si>
  <si>
    <t>投薬量</t>
    <rPh sb="0" eb="3">
      <t>トウヤクリョウ</t>
    </rPh>
    <phoneticPr fontId="3"/>
  </si>
  <si>
    <t>HspInjectionDataのINJ_ADMINISTERED_AMOUNTの値を設定する。</t>
  </si>
  <si>
    <t>RXA-6</t>
  </si>
  <si>
    <t>RXA.6</t>
    <phoneticPr fontId="4"/>
  </si>
  <si>
    <t>INJ_DOSAGE_UNIT_CD_S</t>
  </si>
  <si>
    <t>変換マスタによりHspINJcriptionDataのINJ_ADMINISTERED_UNIT_CD_Lに対応する標準単位コードを設定する。</t>
    <rPh sb="0" eb="2">
      <t>ヘンカン</t>
    </rPh>
    <rPh sb="54" eb="56">
      <t>タイオウ</t>
    </rPh>
    <rPh sb="58" eb="60">
      <t>ヒョウジュン</t>
    </rPh>
    <rPh sb="60" eb="62">
      <t>タンイ</t>
    </rPh>
    <rPh sb="66" eb="68">
      <t>セッテイ</t>
    </rPh>
    <phoneticPr fontId="4"/>
  </si>
  <si>
    <t>INJ_ADMINISTERED_UNIT_CD_L</t>
    <phoneticPr fontId="4"/>
  </si>
  <si>
    <t>HspInjectionDataのINJ_ADMINISTERED_UNIT_CD_Lの値を設定する。</t>
  </si>
  <si>
    <t>RXA-7</t>
  </si>
  <si>
    <t>RXA.7.1
または
RXA.7.4</t>
    <phoneticPr fontId="4"/>
  </si>
  <si>
    <t>INJ_ADMINISTERED_UNIT_NAME_L</t>
    <phoneticPr fontId="4"/>
  </si>
  <si>
    <t>HspInjectionDataのINJ_ADMINISTERED_UNIT_NAME_Lの値を設定する。</t>
  </si>
  <si>
    <t>RXA.7.2
または
RXA.7.5</t>
    <phoneticPr fontId="4"/>
  </si>
  <si>
    <t>INJ_ADMINISTRATION_NOTES</t>
    <phoneticPr fontId="4"/>
  </si>
  <si>
    <t>投薬注記</t>
    <phoneticPr fontId="4"/>
  </si>
  <si>
    <t>HspInjectionDataのINJ_ADMINISTRATION_NOTESの値を設定する。</t>
  </si>
  <si>
    <t>RXA-9</t>
  </si>
  <si>
    <t>RXA.9.2</t>
    <phoneticPr fontId="4"/>
  </si>
  <si>
    <t>INJ_ADMINISTERED_PER</t>
    <phoneticPr fontId="4"/>
  </si>
  <si>
    <t>時間あたりの投薬</t>
    <phoneticPr fontId="4"/>
  </si>
  <si>
    <t>HspInjectionDataのINJ_ADMINISTERED_PERの値を設定する。</t>
  </si>
  <si>
    <t>RXA-12</t>
  </si>
  <si>
    <t>RXA.12</t>
    <phoneticPr fontId="4"/>
  </si>
  <si>
    <t>INJ_INDICATION</t>
    <phoneticPr fontId="4"/>
  </si>
  <si>
    <t>指示</t>
    <rPh sb="0" eb="2">
      <t>シジ</t>
    </rPh>
    <phoneticPr fontId="4"/>
  </si>
  <si>
    <t>HspInjectionDataのINJ_INDICATIONの値を設定する。</t>
  </si>
  <si>
    <t>RXA-19</t>
  </si>
  <si>
    <t>RXA.19.2</t>
    <phoneticPr fontId="4"/>
  </si>
  <si>
    <t>INJ_COMPLETION_STATUS</t>
    <phoneticPr fontId="4"/>
  </si>
  <si>
    <t>完了状態</t>
  </si>
  <si>
    <t>HspInjectionDataのINJ_COMPLETION_STATUSの値をHL7 表「0322-完了状態」に定義されているコードに変換する。</t>
    <phoneticPr fontId="4"/>
  </si>
  <si>
    <t>RXA-20</t>
  </si>
  <si>
    <t>RXA.20</t>
    <phoneticPr fontId="4"/>
  </si>
  <si>
    <t>INJ_START_AGE</t>
  </si>
  <si>
    <t>HspInjectionDataのINJ_START_AGEの値を設定する。</t>
  </si>
  <si>
    <t>INJ_START_MONTHS</t>
  </si>
  <si>
    <t>HspInjectionDataのINJ_START_MONTHSの値を設定する。</t>
  </si>
  <si>
    <t>INJ_START_DAYS</t>
  </si>
  <si>
    <t>HspInjectionDataのINJ_START_DAYSの値を設定する。</t>
  </si>
  <si>
    <t>HspInjectionDataのDATA_UPDATE_DATEの値を設定する。</t>
  </si>
  <si>
    <t>HspInjectionDataのTS_TABLE_UPDATEの値を設定する。</t>
  </si>
  <si>
    <t>CREATE TABLE HspPatientIdentification (</t>
    <phoneticPr fontId="4"/>
  </si>
  <si>
    <t>);</t>
    <phoneticPr fontId="4"/>
  </si>
  <si>
    <t>OMOP CDM</t>
    <phoneticPr fontId="4"/>
  </si>
  <si>
    <t>Vocabulary Mapping</t>
    <phoneticPr fontId="4"/>
  </si>
  <si>
    <t>person.person_id</t>
    <phoneticPr fontId="4"/>
  </si>
  <si>
    <t>person.person_source_value</t>
    <phoneticPr fontId="4"/>
  </si>
  <si>
    <t>gender to Standard Vocabulary</t>
    <phoneticPr fontId="4"/>
  </si>
  <si>
    <t>person.year_of_birth
person.month_of_birth
person.day_of_birth</t>
    <phoneticPr fontId="4"/>
  </si>
  <si>
    <t>CREATE TABLE HspPatientAddress (</t>
    <phoneticPr fontId="4"/>
  </si>
  <si>
    <t>person.location_id</t>
    <phoneticPr fontId="4"/>
  </si>
  <si>
    <t>CREATE TABLE HspPatientVisit (</t>
    <phoneticPr fontId="4"/>
  </si>
  <si>
    <t>visit_occurence.person_id</t>
    <phoneticPr fontId="4"/>
  </si>
  <si>
    <t>HL7 Segment to Standard Vocabulary</t>
    <phoneticPr fontId="4"/>
  </si>
  <si>
    <t>visit_occurence.visit_start_date</t>
    <phoneticPr fontId="4"/>
  </si>
  <si>
    <t>visit_occurence.visit_start_datetime</t>
    <phoneticPr fontId="4"/>
  </si>
  <si>
    <t>CREATE TABLE HspPatientDisease (</t>
    <phoneticPr fontId="4"/>
  </si>
  <si>
    <t>condition_occurrence.person_id</t>
    <phoneticPr fontId="4"/>
  </si>
  <si>
    <t>condition_occurrence.condition_start_date</t>
    <phoneticPr fontId="4"/>
  </si>
  <si>
    <t>condition_occurrence.condition_end_date</t>
    <phoneticPr fontId="4"/>
  </si>
  <si>
    <t>DIS_UNIQUE_ID</t>
  </si>
  <si>
    <t>HIS_PATIENT_ID</t>
  </si>
  <si>
    <t>DEPT_CD_L</t>
  </si>
  <si>
    <t>DEPT_NAME_L</t>
  </si>
  <si>
    <t>DIS_INSTANCE_ID</t>
  </si>
  <si>
    <t>ICD10_CD</t>
  </si>
  <si>
    <t>DIS_CD</t>
  </si>
  <si>
    <t>DIS_NAME</t>
  </si>
  <si>
    <t>DIS_START_DATE</t>
  </si>
  <si>
    <t>DIS_ESTABLISHED_DATE</t>
  </si>
  <si>
    <t>DIS_END_DATE</t>
  </si>
  <si>
    <t>DIS_OUTCOME_DATE</t>
  </si>
  <si>
    <t>SCH_DIS_START_DATE</t>
  </si>
  <si>
    <t>SCH_DIS_ESTABLISHED_DATE</t>
  </si>
  <si>
    <t>SCH_DIS_END_DATE</t>
  </si>
  <si>
    <t>SCH_DIS_OUTCOME_DATE</t>
  </si>
  <si>
    <t>DIS_OUTCOME_CD</t>
  </si>
  <si>
    <t>DIS_CLASSIFICATION_CD</t>
  </si>
  <si>
    <t>DIS_SUSPECT_CD</t>
  </si>
  <si>
    <t>DIS_START_AGE</t>
  </si>
  <si>
    <t>DIS_START_MONTHS</t>
  </si>
  <si>
    <t>DIS_START_DAYS</t>
  </si>
  <si>
    <t>DIS_ESTABLISHED_AGE</t>
  </si>
  <si>
    <t>DIS_ESTABLISHED_MONTHS</t>
  </si>
  <si>
    <t>DIS_ESTABLISHED_DAYS</t>
  </si>
  <si>
    <t>TS_TABLE_UPDATE</t>
  </si>
  <si>
    <t>病院オリジナル</t>
    <rPh sb="0" eb="2">
      <t>ビョウイン</t>
    </rPh>
    <phoneticPr fontId="4"/>
  </si>
  <si>
    <t>CREATE TABLE HspObservationResult (</t>
    <phoneticPr fontId="4"/>
  </si>
  <si>
    <t>measurement.person_id</t>
    <phoneticPr fontId="4"/>
  </si>
  <si>
    <t>measurement.measurement_source_value</t>
    <phoneticPr fontId="4"/>
  </si>
  <si>
    <t>measurement.value_as_number</t>
    <phoneticPr fontId="4"/>
  </si>
  <si>
    <t>measurement.range_high</t>
    <phoneticPr fontId="4"/>
  </si>
  <si>
    <t>measurement.range_low</t>
    <phoneticPr fontId="4"/>
  </si>
  <si>
    <t>OBX_UNIQUE_ID</t>
  </si>
  <si>
    <t>PLACER_ORDER_NO</t>
  </si>
  <si>
    <t>FILLER_ORDER_NO</t>
  </si>
  <si>
    <t>SPM_ID</t>
  </si>
  <si>
    <t>OBX_SET_ID</t>
  </si>
  <si>
    <t>OBX_SUB_ID</t>
  </si>
  <si>
    <t>SPM_COLLECT_DATE</t>
  </si>
  <si>
    <t>SPM_COLLECT_TIME</t>
  </si>
  <si>
    <t>SCH_SPM_COLLECT_DATE</t>
  </si>
  <si>
    <t>OBX_CD_L</t>
  </si>
  <si>
    <t>OBX_NAME_L</t>
  </si>
  <si>
    <t>SPM_CD_L</t>
  </si>
  <si>
    <t>SPM_NAME_L</t>
  </si>
  <si>
    <t>OBX_VALUE_L</t>
  </si>
  <si>
    <t>SCH_OBX_VALUE_L</t>
  </si>
  <si>
    <t>OBX_UNIT_L</t>
  </si>
  <si>
    <t>OBX_RANGE_TEXT_L</t>
  </si>
  <si>
    <t>OBX_RANGE_HIGH_L</t>
  </si>
  <si>
    <t>OBX_RANGE_LOW_L</t>
  </si>
  <si>
    <t>OBX_ABNORMAL_CD</t>
  </si>
  <si>
    <t>OBX_RESULT_STATUS_CD</t>
  </si>
  <si>
    <t>CREATE TABLE HspPrescriptionData (</t>
    <phoneticPr fontId="4"/>
  </si>
  <si>
    <t>drug_exposure.person_id</t>
    <phoneticPr fontId="4"/>
  </si>
  <si>
    <t>drug_exposure.route_source_value</t>
    <phoneticPr fontId="4"/>
  </si>
  <si>
    <t>drug_exposure.drug_exposure_start_date</t>
    <phoneticPr fontId="4"/>
  </si>
  <si>
    <t>drug_exposure.drug_exposure_end_date</t>
    <phoneticPr fontId="4"/>
  </si>
  <si>
    <t>YJコード to Standard Vocabulary</t>
    <phoneticPr fontId="4"/>
  </si>
  <si>
    <t>drug_exposure.drug_source_value</t>
    <phoneticPr fontId="4"/>
  </si>
  <si>
    <t>drug_exposure.dose_unit_source_value</t>
    <phoneticPr fontId="4"/>
  </si>
  <si>
    <t>drug_exposure.quantity</t>
    <phoneticPr fontId="4"/>
  </si>
  <si>
    <t>drug_exposure.sig</t>
    <phoneticPr fontId="4"/>
  </si>
  <si>
    <t>PRES_UNIQUE_ID</t>
  </si>
  <si>
    <t>PRES_ROUTE</t>
  </si>
  <si>
    <t>PRES_SITE</t>
  </si>
  <si>
    <t>PRES_CLASSIFICATION</t>
  </si>
  <si>
    <t>PRES_ADMINISTRATION_TYPE</t>
  </si>
  <si>
    <t>PRES_START_DATE</t>
  </si>
  <si>
    <t>PRES_END_DATE</t>
  </si>
  <si>
    <t>SCH_PRES_START_DATE</t>
  </si>
  <si>
    <t>SCH_PRES_END_DATE</t>
  </si>
  <si>
    <t>PRES_MEDICINE_CD_YJ</t>
  </si>
  <si>
    <t>PRES_MEDICINE_CD_HOT</t>
  </si>
  <si>
    <t>PRES_MEDICINE_CD_L</t>
  </si>
  <si>
    <t>PRES_MEDICINE_NAME_L</t>
  </si>
  <si>
    <t>PRES_DOSAGE_MIN</t>
  </si>
  <si>
    <t>PRES_DOSAGE_MAX</t>
  </si>
  <si>
    <t>PRES_DOSAGE_UNIT_CD_L</t>
  </si>
  <si>
    <t>PRES_DOSAGE_UNIT_NAME_L</t>
  </si>
  <si>
    <t>PRES_DISPENSE_AMOUNT</t>
  </si>
  <si>
    <t>PRES_DISPENSE_UNIT_CD_L</t>
  </si>
  <si>
    <t>PRES_DISPENSE_UNIT_NAME_L</t>
  </si>
  <si>
    <t>PRES_TOTAL_QUANTITY</t>
  </si>
  <si>
    <t>PRES_TOTAL_UNIT_CD_L</t>
  </si>
  <si>
    <t>PRES_TOTAL_UNIT_NAME_L</t>
  </si>
  <si>
    <t>PRES_PERIOD</t>
  </si>
  <si>
    <t>PRES_ACTUAL_DAYS</t>
  </si>
  <si>
    <t>PRES_ADMINISTRATION_CD_L</t>
  </si>
  <si>
    <t>PRES_ADMINISTRATION_NAME_L</t>
  </si>
  <si>
    <t>PRES_SUPPLEMENT_CD_L</t>
  </si>
  <si>
    <t>PRES_SUPPLEMENT_NAME_L</t>
  </si>
  <si>
    <t>PRES_RP_COMMENT</t>
  </si>
  <si>
    <t>PRES_INSTRUCTIONS_CD</t>
  </si>
  <si>
    <t>PRES_INSTRUCTIONS_NAME</t>
  </si>
  <si>
    <t>CREATE TABLE InjectionData (</t>
    <phoneticPr fontId="4"/>
  </si>
  <si>
    <t>PV_UNIQUE_ID</t>
  </si>
  <si>
    <t>PV_ADTSEGMENT</t>
  </si>
  <si>
    <t>PV_ADMIT_DATE</t>
  </si>
  <si>
    <t>PV_ADMIT_TIME</t>
  </si>
  <si>
    <t>PV_DISCHARGE_DATE</t>
  </si>
  <si>
    <t>PV_DISCHARGE_TIME</t>
  </si>
  <si>
    <t>PV_DISCHARGE_CD_L</t>
  </si>
  <si>
    <t>PV_EVENT_OCCURRED_DATE</t>
  </si>
  <si>
    <t>PV_EVENT_OCCURRED_TIME</t>
  </si>
  <si>
    <t>PV_DATETIME</t>
  </si>
  <si>
    <t>SCH_PV_ADMIT_DATE</t>
  </si>
  <si>
    <t>SCH_PV_DISCHARGE_DATE</t>
  </si>
  <si>
    <t>SCH_PV_EVENT_OCCURRED_DATE</t>
  </si>
  <si>
    <t>PV_ADMIT_AGE</t>
  </si>
  <si>
    <t>PV_ADMIT_MONTHS</t>
  </si>
  <si>
    <t>PV_ADMIT_DAYS</t>
  </si>
  <si>
    <t>INJ_ADMINISTRATIVE_METHOD</t>
  </si>
  <si>
    <t>INJ_START_TIME</t>
  </si>
  <si>
    <t>INJ_END_TIME</t>
  </si>
  <si>
    <t>INJ_ADMINISTERED_AMOUNT</t>
  </si>
  <si>
    <t>INJ_ADMINISTERED_UNIT_CD_L</t>
  </si>
  <si>
    <t>INJ_ADMINISTERED_UNIT_NAME_L</t>
  </si>
  <si>
    <t>INJ_ADMINISTRATION_NOTES</t>
  </si>
  <si>
    <t>INJ_ADMINISTERED_PER</t>
  </si>
  <si>
    <t>INJ_INDICATION</t>
  </si>
  <si>
    <t>INJ_COMPLETION_STATUS</t>
  </si>
  <si>
    <t>drug_source_value</t>
    <phoneticPr fontId="4"/>
  </si>
  <si>
    <t>measurement_source_value</t>
    <phoneticPr fontId="4"/>
  </si>
  <si>
    <t>unit_source_value</t>
    <phoneticPr fontId="4"/>
  </si>
  <si>
    <t>condition_source_value</t>
    <phoneticPr fontId="4"/>
  </si>
  <si>
    <t>drug_exposure.provider_id</t>
    <phoneticPr fontId="4"/>
  </si>
  <si>
    <t>visit_detail.visit_detail_start_date
visit_detail.visit_detail_end_date</t>
    <phoneticPr fontId="4"/>
  </si>
  <si>
    <t>visit_detail.visit_detail_start_datetime
visit_detail.visit_detail_end_datetime</t>
    <phoneticPr fontId="4"/>
  </si>
  <si>
    <t>visit_occurence.visit_concept_id
visit_detal.visit_detail_concept_id</t>
    <phoneticPr fontId="4"/>
  </si>
  <si>
    <t>visit_occurence.provider_id
visit_detail.provider_id</t>
    <phoneticPr fontId="4"/>
  </si>
  <si>
    <t>condition_occurrence.condition_status_source_value</t>
    <phoneticPr fontId="4"/>
  </si>
  <si>
    <t>condition_occurrence.stop_reason</t>
    <phoneticPr fontId="4"/>
  </si>
  <si>
    <t>主診断フラグ＋疑いフラグ＋転帰区分 to Standard Vocabulary</t>
    <rPh sb="7" eb="8">
      <t>ウタガ</t>
    </rPh>
    <rPh sb="13" eb="17">
      <t>テンキクブン</t>
    </rPh>
    <phoneticPr fontId="4"/>
  </si>
  <si>
    <t>condition_occurrence.condition_source_value</t>
  </si>
  <si>
    <t>condition_occurrence.condition_concept_id
condition_occurrence.condition_source_value</t>
    <phoneticPr fontId="4"/>
  </si>
  <si>
    <t>measurement.measurement_date
specimen.specimen_date</t>
    <phoneticPr fontId="4"/>
  </si>
  <si>
    <t>measurement.measurement_time
specimen.specimen_datetime</t>
    <phoneticPr fontId="4"/>
  </si>
  <si>
    <t>measurement.measurement_concept_id
measurement.measurement_source_value</t>
    <phoneticPr fontId="4"/>
  </si>
  <si>
    <t>measurement.unit_source_concept_id
measurement.unit_source_value</t>
    <phoneticPr fontId="4"/>
  </si>
  <si>
    <t>臨中標準材料コード to Standard Vocabulary</t>
    <rPh sb="0" eb="2">
      <t>リンチュウ</t>
    </rPh>
    <rPh sb="2" eb="4">
      <t>ヒョウジュン</t>
    </rPh>
    <rPh sb="4" eb="6">
      <t>ザイリョウ</t>
    </rPh>
    <phoneticPr fontId="4"/>
  </si>
  <si>
    <t>臨中標準検査項目コード to Standard Vocabulary</t>
    <rPh sb="0" eb="2">
      <t>リンチュウ</t>
    </rPh>
    <rPh sb="2" eb="4">
      <t>ヒョウジュン</t>
    </rPh>
    <rPh sb="4" eb="8">
      <t>ケンサコウモク</t>
    </rPh>
    <phoneticPr fontId="4"/>
  </si>
  <si>
    <t>SSMIX標準単位 to Standard Vocabulary</t>
    <rPh sb="5" eb="7">
      <t>ヒョウジュン</t>
    </rPh>
    <rPh sb="7" eb="9">
      <t>タンイ</t>
    </rPh>
    <phoneticPr fontId="4"/>
  </si>
  <si>
    <t>SSMIX標準投与経路 to Standard Vocabulary</t>
    <rPh sb="5" eb="7">
      <t>ヒョウジュン</t>
    </rPh>
    <rPh sb="7" eb="9">
      <t>トウヨ</t>
    </rPh>
    <rPh sb="9" eb="11">
      <t>ケイロ</t>
    </rPh>
    <phoneticPr fontId="4"/>
  </si>
  <si>
    <t>drug_exposure.route_conept_id
drug_exposure.route_source_value</t>
    <phoneticPr fontId="4"/>
  </si>
  <si>
    <t>drug_exposure.drug_concept_id
drug_exposure.drug_source_value</t>
    <phoneticPr fontId="4"/>
  </si>
  <si>
    <t>drug_exposure.drug_source_value</t>
    <phoneticPr fontId="4"/>
  </si>
  <si>
    <t>drug_exposure.drug_exposure_start_date
drug_exposure.drug_exposure_end_date</t>
    <phoneticPr fontId="4"/>
  </si>
  <si>
    <t>drug_exposure.drug_unit_concept_id
drug_exposure.drug_unit_source_value</t>
    <phoneticPr fontId="4"/>
  </si>
  <si>
    <t>SSMIX標準単位コード to Standard Vocabulary</t>
    <rPh sb="5" eb="7">
      <t>ヒョウジュン</t>
    </rPh>
    <rPh sb="7" eb="9">
      <t>タンイ</t>
    </rPh>
    <phoneticPr fontId="4"/>
  </si>
  <si>
    <t>drug_exposure.drug_unit_source_value</t>
    <phoneticPr fontId="4"/>
  </si>
  <si>
    <t>drug_exposure.route_concept_id
drug_exposure.route_source_value</t>
    <phoneticPr fontId="4"/>
  </si>
  <si>
    <t>person.gender_concept_id
person.gender_source_value</t>
    <phoneticPr fontId="4"/>
  </si>
  <si>
    <t>person.race_concept_id
person.race_source_regvalue</t>
    <phoneticPr fontId="4"/>
  </si>
  <si>
    <t>person.ethnicity_concept_id
person.ethnicity_source_value</t>
    <phoneticPr fontId="4"/>
  </si>
  <si>
    <t>visit_occurence.discharged_to_concept_id
visit_occurence.discharged_to_source_value</t>
    <phoneticPr fontId="4"/>
  </si>
  <si>
    <t>visit_occurence.visit_end_date
death.death_date</t>
    <phoneticPr fontId="4"/>
  </si>
  <si>
    <t>visit_occurence.visit_end_datetime
death.death_datetime</t>
    <phoneticPr fontId="4"/>
  </si>
  <si>
    <t>condition.provider_id</t>
    <phoneticPr fontId="4"/>
  </si>
  <si>
    <t>measurement.provider_id</t>
    <phoneticPr fontId="4"/>
  </si>
  <si>
    <t>measurement.measurement_source_value
specimen.spiecimen_concept_id
specimen.spiecimen_source_value</t>
    <phoneticPr fontId="4"/>
  </si>
  <si>
    <t>measurement.measurement_source_value
specimen.spiecimen_source_value</t>
    <phoneticPr fontId="4"/>
  </si>
  <si>
    <t>measurement.value_concept_id
measurement.value_source_value
measurement.value_as_number
measurement.operator_concept_id
measurement.operator_source_value</t>
    <phoneticPr fontId="4"/>
  </si>
  <si>
    <t>drug_exposure.drug_exposure_end_date
drug_exposure.days_supply</t>
    <phoneticPr fontId="4"/>
  </si>
  <si>
    <t>drug_exposure.drug_exposure_start_datetime</t>
    <phoneticPr fontId="4"/>
  </si>
  <si>
    <t>condition_occurrence.condition_source_value</t>
    <phoneticPr fontId="4"/>
  </si>
  <si>
    <t>ICD10 toStandard Vocabulary</t>
    <phoneticPr fontId="4"/>
  </si>
  <si>
    <t>OMOP CDM R5.4 Mapping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</si>
</sst>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ＭＳ 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ＭＳ ゴシック"/>
      <family val="2"/>
      <charset val="128"/>
    </font>
    <font>
      <sz val="1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trike/>
      <sz val="1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20"/>
      <color rgb="FFFF0000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10"/>
      <color rgb="FF0000CC"/>
      <name val="Arial Unicode MS"/>
      <family val="2"/>
    </font>
    <font>
      <sz val="10"/>
      <color rgb="FFFF0000"/>
      <name val="Arial Unicode MS"/>
      <family val="2"/>
    </font>
    <font>
      <sz val="10"/>
      <color rgb="FFFF0000"/>
      <name val="游ゴシック"/>
      <family val="3"/>
      <charset val="128"/>
      <scheme val="minor"/>
    </font>
    <font>
      <b/>
      <sz val="10"/>
      <color rgb="FF0000CC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</cellStyleXfs>
  <cellXfs count="61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3" borderId="1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6" fillId="0" borderId="12" xfId="0" applyFont="1" applyBorder="1">
      <alignment vertical="center"/>
    </xf>
    <xf numFmtId="0" fontId="6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9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5" fillId="3" borderId="6" xfId="0" applyFont="1" applyFill="1" applyBorder="1">
      <alignment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>
      <alignment vertical="center"/>
    </xf>
    <xf numFmtId="49" fontId="5" fillId="0" borderId="1" xfId="0" quotePrefix="1" applyNumberFormat="1" applyFont="1" applyBorder="1">
      <alignment vertical="center"/>
    </xf>
    <xf numFmtId="0" fontId="5" fillId="0" borderId="1" xfId="0" quotePrefix="1" applyFont="1" applyBorder="1" applyAlignment="1">
      <alignment vertical="center" wrapText="1"/>
    </xf>
    <xf numFmtId="0" fontId="5" fillId="3" borderId="14" xfId="0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6" fillId="0" borderId="1" xfId="0" applyFont="1" applyBorder="1" applyAlignment="1">
      <alignment vertical="center" wrapText="1"/>
    </xf>
    <xf numFmtId="14" fontId="6" fillId="0" borderId="0" xfId="0" applyNumberFormat="1" applyFont="1">
      <alignment vertical="center"/>
    </xf>
    <xf numFmtId="14" fontId="5" fillId="0" borderId="8" xfId="0" applyNumberFormat="1" applyFont="1" applyBorder="1">
      <alignment vertical="center"/>
    </xf>
    <xf numFmtId="55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6" fillId="0" borderId="1" xfId="1" applyNumberFormat="1" applyFont="1" applyBorder="1" applyAlignment="1">
      <alignment vertical="center" shrinkToFit="1"/>
    </xf>
    <xf numFmtId="0" fontId="8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5" fillId="4" borderId="1" xfId="0" applyFont="1" applyFill="1" applyBorder="1">
      <alignment vertical="center"/>
    </xf>
    <xf numFmtId="0" fontId="5" fillId="5" borderId="1" xfId="0" applyFont="1" applyFill="1" applyBorder="1">
      <alignment vertical="center"/>
    </xf>
    <xf numFmtId="0" fontId="5" fillId="5" borderId="1" xfId="0" applyFont="1" applyFill="1" applyBorder="1" applyAlignment="1">
      <alignment vertical="center" wrapText="1"/>
    </xf>
    <xf numFmtId="49" fontId="5" fillId="5" borderId="1" xfId="0" quotePrefix="1" applyNumberFormat="1" applyFont="1" applyFill="1" applyBorder="1">
      <alignment vertical="center"/>
    </xf>
    <xf numFmtId="0" fontId="5" fillId="5" borderId="1" xfId="0" quotePrefix="1" applyFont="1" applyFill="1" applyBorder="1" applyAlignment="1">
      <alignment vertical="center" wrapText="1"/>
    </xf>
    <xf numFmtId="0" fontId="14" fillId="5" borderId="1" xfId="0" applyFont="1" applyFill="1" applyBorder="1">
      <alignment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vertical="center" wrapText="1"/>
    </xf>
    <xf numFmtId="49" fontId="14" fillId="0" borderId="1" xfId="0" quotePrefix="1" applyNumberFormat="1" applyFont="1" applyBorder="1">
      <alignment vertical="center"/>
    </xf>
    <xf numFmtId="0" fontId="14" fillId="5" borderId="1" xfId="0" applyFont="1" applyFill="1" applyBorder="1" applyAlignment="1">
      <alignment vertical="center" wrapText="1"/>
    </xf>
    <xf numFmtId="49" fontId="14" fillId="5" borderId="1" xfId="0" quotePrefix="1" applyNumberFormat="1" applyFont="1" applyFill="1" applyBorder="1">
      <alignment vertical="center"/>
    </xf>
    <xf numFmtId="0" fontId="5" fillId="4" borderId="1" xfId="0" applyFont="1" applyFill="1" applyBorder="1" applyAlignment="1">
      <alignment vertical="center" wrapText="1"/>
    </xf>
    <xf numFmtId="49" fontId="6" fillId="5" borderId="1" xfId="1" applyNumberFormat="1" applyFont="1" applyFill="1" applyBorder="1" applyAlignment="1">
      <alignment vertical="center" shrinkToFit="1"/>
    </xf>
    <xf numFmtId="0" fontId="6" fillId="5" borderId="0" xfId="0" applyFont="1" applyFill="1">
      <alignment vertical="center"/>
    </xf>
    <xf numFmtId="0" fontId="10" fillId="5" borderId="0" xfId="0" applyFont="1" applyFill="1" applyAlignment="1">
      <alignment horizontal="center" vertical="center"/>
    </xf>
    <xf numFmtId="0" fontId="15" fillId="0" borderId="0" xfId="0" applyFont="1">
      <alignment vertical="center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>
      <alignment vertical="center"/>
    </xf>
    <xf numFmtId="0" fontId="5" fillId="5" borderId="0" xfId="0" applyFont="1" applyFill="1">
      <alignment vertical="center"/>
    </xf>
  </cellXfs>
  <cellStyles count="3">
    <cellStyle name="標準" xfId="0" builtinId="0"/>
    <cellStyle name="標準 2" xfId="2" xr:uid="{F12855B8-F4F5-4323-A1F1-1E1BBD8CB746}"/>
    <cellStyle name="標準 3" xfId="1" xr:uid="{D170243C-C049-426C-BA13-C589945DBECA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226219</xdr:colOff>
      <xdr:row>14</xdr:row>
      <xdr:rowOff>178668</xdr:rowOff>
    </xdr:from>
    <xdr:to>
      <xdr:col>2</xdr:col>
      <xdr:colOff>228679</xdr:colOff>
      <xdr:row>19</xdr:row>
      <xdr:rowOff>77005</xdr:rowOff>
    </xdr:to>
    <xdr:sp macro="" textlink="">
      <xdr:nvSpPr>
        <xdr:cNvPr id="77" name="フローチャート: 磁気ディスク 76">
          <a:extLst>
            <a:ext uri="{FF2B5EF4-FFF2-40B4-BE49-F238E27FC236}">
              <a16:creationId xmlns:a16="http://schemas.microsoft.com/office/drawing/2014/main" id="{D5B30D5D-26D8-4CC3-82DC-CA0ABDD3464D}"/>
            </a:ext>
          </a:extLst>
        </xdr:cNvPr>
        <xdr:cNvSpPr/>
      </xdr:nvSpPr>
      <xdr:spPr>
        <a:xfrm>
          <a:off x="226219" y="2902818"/>
          <a:ext cx="1221660" cy="946087"/>
        </a:xfrm>
        <a:prstGeom prst="flowChartMagneticDisk">
          <a:avLst/>
        </a:prstGeom>
        <a:ln w="127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電子カルテデータ</a:t>
          </a:r>
          <a:endParaRPr kumimoji="1"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>
            <a:lnSpc>
              <a:spcPts val="1200"/>
            </a:lnSpc>
          </a:pPr>
          <a:r>
            <a:rPr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　・処方</a:t>
          </a:r>
          <a:endParaRPr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>
            <a:lnSpc>
              <a:spcPts val="1200"/>
            </a:lnSpc>
          </a:pPr>
          <a:r>
            <a: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　・検体検査結果</a:t>
          </a:r>
          <a:endParaRPr kumimoji="1"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>
            <a:lnSpc>
              <a:spcPts val="1200"/>
            </a:lnSpc>
          </a:pPr>
          <a:r>
            <a: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　・病名　　など</a:t>
          </a:r>
        </a:p>
      </xdr:txBody>
    </xdr:sp>
    <xdr:clientData/>
  </xdr:twoCellAnchor>
  <xdr:twoCellAnchor>
    <xdr:from>
      <xdr:col>5</xdr:col>
      <xdr:colOff>86666</xdr:colOff>
      <xdr:row>15</xdr:row>
      <xdr:rowOff>16786</xdr:rowOff>
    </xdr:from>
    <xdr:to>
      <xdr:col>7</xdr:col>
      <xdr:colOff>88974</xdr:colOff>
      <xdr:row>19</xdr:row>
      <xdr:rowOff>24577</xdr:rowOff>
    </xdr:to>
    <xdr:sp macro="" textlink="">
      <xdr:nvSpPr>
        <xdr:cNvPr id="78" name="フローチャート: 磁気ディスク 77">
          <a:extLst>
            <a:ext uri="{FF2B5EF4-FFF2-40B4-BE49-F238E27FC236}">
              <a16:creationId xmlns:a16="http://schemas.microsoft.com/office/drawing/2014/main" id="{38288F0B-4888-4077-ADC4-370F3655D7DE}"/>
            </a:ext>
          </a:extLst>
        </xdr:cNvPr>
        <xdr:cNvSpPr/>
      </xdr:nvSpPr>
      <xdr:spPr>
        <a:xfrm>
          <a:off x="3134666" y="2950486"/>
          <a:ext cx="1221508" cy="845991"/>
        </a:xfrm>
        <a:prstGeom prst="flowChartMagneticDisk">
          <a:avLst/>
        </a:prstGeom>
        <a:ln w="127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>
            <a:lnSpc>
              <a:spcPts val="1200"/>
            </a:lnSpc>
          </a:pPr>
          <a:r>
            <a:rPr kumimoji="1" lang="en-US" altLang="ja-JP" sz="1000">
              <a:latin typeface="游ゴシック" panose="020B0400000000000000" pitchFamily="50" charset="-128"/>
              <a:ea typeface="游ゴシック" panose="020B0400000000000000" pitchFamily="50" charset="-128"/>
            </a:rPr>
            <a:t>SS-MIX2</a:t>
          </a:r>
        </a:p>
        <a:p>
          <a:pPr algn="ctr">
            <a:lnSpc>
              <a:spcPts val="1200"/>
            </a:lnSpc>
          </a:pPr>
          <a:r>
            <a: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トランザクションファイル</a:t>
          </a:r>
        </a:p>
      </xdr:txBody>
    </xdr:sp>
    <xdr:clientData/>
  </xdr:twoCellAnchor>
  <xdr:twoCellAnchor>
    <xdr:from>
      <xdr:col>2</xdr:col>
      <xdr:colOff>228679</xdr:colOff>
      <xdr:row>17</xdr:row>
      <xdr:rowOff>20681</xdr:rowOff>
    </xdr:from>
    <xdr:to>
      <xdr:col>2</xdr:col>
      <xdr:colOff>591844</xdr:colOff>
      <xdr:row>17</xdr:row>
      <xdr:rowOff>20682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E8A7CB6B-009A-43E6-A777-039CC1B21F11}"/>
            </a:ext>
          </a:extLst>
        </xdr:cNvPr>
        <xdr:cNvCxnSpPr>
          <a:stCxn id="77" idx="4"/>
          <a:endCxn id="83" idx="1"/>
        </xdr:cNvCxnSpPr>
      </xdr:nvCxnSpPr>
      <xdr:spPr>
        <a:xfrm flipV="1">
          <a:off x="1447879" y="3373481"/>
          <a:ext cx="363165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487686</xdr:colOff>
      <xdr:row>17</xdr:row>
      <xdr:rowOff>20681</xdr:rowOff>
    </xdr:from>
    <xdr:to>
      <xdr:col>5</xdr:col>
      <xdr:colOff>86666</xdr:colOff>
      <xdr:row>17</xdr:row>
      <xdr:rowOff>20682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3839FF81-C295-4A00-9923-1B2D3F15A128}"/>
            </a:ext>
          </a:extLst>
        </xdr:cNvPr>
        <xdr:cNvCxnSpPr>
          <a:stCxn id="83" idx="3"/>
          <a:endCxn id="78" idx="2"/>
        </xdr:cNvCxnSpPr>
      </xdr:nvCxnSpPr>
      <xdr:spPr>
        <a:xfrm>
          <a:off x="2926086" y="3373481"/>
          <a:ext cx="208580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434878</xdr:colOff>
      <xdr:row>15</xdr:row>
      <xdr:rowOff>5442</xdr:rowOff>
    </xdr:from>
    <xdr:to>
      <xdr:col>4</xdr:col>
      <xdr:colOff>487686</xdr:colOff>
      <xdr:row>18</xdr:row>
      <xdr:rowOff>34507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7BE49B64-43F8-408F-BE4D-A1B36D8489BB}"/>
            </a:ext>
          </a:extLst>
        </xdr:cNvPr>
        <xdr:cNvGrpSpPr/>
      </xdr:nvGrpSpPr>
      <xdr:grpSpPr>
        <a:xfrm>
          <a:off x="1649316" y="3220130"/>
          <a:ext cx="1267245" cy="672002"/>
          <a:chOff x="1981083" y="916604"/>
          <a:chExt cx="1499765" cy="795306"/>
        </a:xfrm>
      </xdr:grpSpPr>
      <xdr:sp macro="" textlink="">
        <xdr:nvSpPr>
          <xdr:cNvPr id="82" name="フローチャート: 処理 81">
            <a:extLst>
              <a:ext uri="{FF2B5EF4-FFF2-40B4-BE49-F238E27FC236}">
                <a16:creationId xmlns:a16="http://schemas.microsoft.com/office/drawing/2014/main" id="{C5A77A3F-772C-4DA8-956F-300E6B829870}"/>
              </a:ext>
            </a:extLst>
          </xdr:cNvPr>
          <xdr:cNvSpPr/>
        </xdr:nvSpPr>
        <xdr:spPr>
          <a:xfrm>
            <a:off x="1981083" y="988881"/>
            <a:ext cx="180000" cy="180000"/>
          </a:xfrm>
          <a:prstGeom prst="flowChartProcess">
            <a:avLst/>
          </a:prstGeom>
          <a:ln w="127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  <xdr:sp macro="" textlink="">
        <xdr:nvSpPr>
          <xdr:cNvPr id="83" name="フローチャート: 処理 82">
            <a:extLst>
              <a:ext uri="{FF2B5EF4-FFF2-40B4-BE49-F238E27FC236}">
                <a16:creationId xmlns:a16="http://schemas.microsoft.com/office/drawing/2014/main" id="{E6D9858E-7C0B-4B3C-9D00-AC78851B7934}"/>
              </a:ext>
            </a:extLst>
          </xdr:cNvPr>
          <xdr:cNvSpPr/>
        </xdr:nvSpPr>
        <xdr:spPr>
          <a:xfrm>
            <a:off x="2166849" y="1171910"/>
            <a:ext cx="1313999" cy="540000"/>
          </a:xfrm>
          <a:prstGeom prst="flowChartProcess">
            <a:avLst/>
          </a:prstGeom>
          <a:ln w="127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200"/>
              </a:lnSpc>
            </a:pPr>
            <a:r>
              <a:rPr kumimoji="1" lang="en-US" altLang="ja-JP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SS-MIX2</a:t>
            </a:r>
          </a:p>
          <a:p>
            <a:pPr algn="ctr">
              <a:lnSpc>
                <a:spcPts val="1200"/>
              </a:lnSpc>
            </a:pPr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書込みプログラム</a:t>
            </a:r>
          </a:p>
        </xdr:txBody>
      </xdr:sp>
      <xdr:sp macro="" textlink="">
        <xdr:nvSpPr>
          <xdr:cNvPr id="84" name="テキスト ボックス 61">
            <a:extLst>
              <a:ext uri="{FF2B5EF4-FFF2-40B4-BE49-F238E27FC236}">
                <a16:creationId xmlns:a16="http://schemas.microsoft.com/office/drawing/2014/main" id="{3A8BA17E-F69D-4E95-8E02-3018F7DEC89B}"/>
              </a:ext>
            </a:extLst>
          </xdr:cNvPr>
          <xdr:cNvSpPr txBox="1"/>
        </xdr:nvSpPr>
        <xdr:spPr>
          <a:xfrm>
            <a:off x="2168477" y="916604"/>
            <a:ext cx="748923" cy="3399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t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日時処理</a:t>
            </a:r>
          </a:p>
        </xdr:txBody>
      </xdr:sp>
    </xdr:grpSp>
    <xdr:clientData/>
  </xdr:twoCellAnchor>
  <xdr:twoCellAnchor>
    <xdr:from>
      <xdr:col>14</xdr:col>
      <xdr:colOff>569274</xdr:colOff>
      <xdr:row>17</xdr:row>
      <xdr:rowOff>152527</xdr:rowOff>
    </xdr:from>
    <xdr:to>
      <xdr:col>16</xdr:col>
      <xdr:colOff>419489</xdr:colOff>
      <xdr:row>21</xdr:row>
      <xdr:rowOff>116580</xdr:rowOff>
    </xdr:to>
    <xdr:sp macro="" textlink="">
      <xdr:nvSpPr>
        <xdr:cNvPr id="85" name="フローチャート: 磁気ディスク 84">
          <a:extLst>
            <a:ext uri="{FF2B5EF4-FFF2-40B4-BE49-F238E27FC236}">
              <a16:creationId xmlns:a16="http://schemas.microsoft.com/office/drawing/2014/main" id="{FD4B946A-A677-447F-9D87-B8179187C62E}"/>
            </a:ext>
          </a:extLst>
        </xdr:cNvPr>
        <xdr:cNvSpPr/>
      </xdr:nvSpPr>
      <xdr:spPr>
        <a:xfrm>
          <a:off x="9103674" y="3505327"/>
          <a:ext cx="1069415" cy="802253"/>
        </a:xfrm>
        <a:prstGeom prst="flowChartMagneticDisk">
          <a:avLst/>
        </a:prstGeom>
        <a:solidFill>
          <a:schemeClr val="accent5"/>
        </a:solidFill>
        <a:ln w="1270"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wrap="square" lIns="36000" tIns="36000" rIns="36000" bIns="36000" rtlCol="0" anchor="b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病院オリジナル</a:t>
          </a:r>
          <a:endParaRPr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データテーブル</a:t>
          </a:r>
        </a:p>
      </xdr:txBody>
    </xdr:sp>
    <xdr:clientData/>
  </xdr:twoCellAnchor>
  <xdr:twoCellAnchor>
    <xdr:from>
      <xdr:col>10</xdr:col>
      <xdr:colOff>34209</xdr:colOff>
      <xdr:row>26</xdr:row>
      <xdr:rowOff>84838</xdr:rowOff>
    </xdr:from>
    <xdr:to>
      <xdr:col>12</xdr:col>
      <xdr:colOff>36517</xdr:colOff>
      <xdr:row>30</xdr:row>
      <xdr:rowOff>48891</xdr:rowOff>
    </xdr:to>
    <xdr:sp macro="" textlink="">
      <xdr:nvSpPr>
        <xdr:cNvPr id="86" name="フローチャート: 磁気ディスク 85">
          <a:extLst>
            <a:ext uri="{FF2B5EF4-FFF2-40B4-BE49-F238E27FC236}">
              <a16:creationId xmlns:a16="http://schemas.microsoft.com/office/drawing/2014/main" id="{D885288F-CBA4-4C0A-A1B4-3941B8F28814}"/>
            </a:ext>
          </a:extLst>
        </xdr:cNvPr>
        <xdr:cNvSpPr/>
      </xdr:nvSpPr>
      <xdr:spPr>
        <a:xfrm>
          <a:off x="6130209" y="5323588"/>
          <a:ext cx="1221508" cy="802253"/>
        </a:xfrm>
        <a:prstGeom prst="flowChartMagneticDisk">
          <a:avLst/>
        </a:prstGeom>
        <a:ln w="1270">
          <a:solidFill>
            <a:schemeClr val="tx1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wrap="square" lIns="36000" tIns="36000" rIns="36000" bIns="36000" rtlCol="0" anchor="b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臨中ネット</a:t>
          </a:r>
          <a:endParaRPr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データテーブル</a:t>
          </a:r>
        </a:p>
      </xdr:txBody>
    </xdr:sp>
    <xdr:clientData/>
  </xdr:twoCellAnchor>
  <xdr:twoCellAnchor>
    <xdr:from>
      <xdr:col>2</xdr:col>
      <xdr:colOff>537828</xdr:colOff>
      <xdr:row>27</xdr:row>
      <xdr:rowOff>22619</xdr:rowOff>
    </xdr:from>
    <xdr:to>
      <xdr:col>4</xdr:col>
      <xdr:colOff>388043</xdr:colOff>
      <xdr:row>29</xdr:row>
      <xdr:rowOff>111111</xdr:rowOff>
    </xdr:to>
    <xdr:sp macro="" textlink="">
      <xdr:nvSpPr>
        <xdr:cNvPr id="87" name="フローチャート: 磁気ディスク 86">
          <a:extLst>
            <a:ext uri="{FF2B5EF4-FFF2-40B4-BE49-F238E27FC236}">
              <a16:creationId xmlns:a16="http://schemas.microsoft.com/office/drawing/2014/main" id="{69DB318B-046E-414C-ABD8-36E92771D75D}"/>
            </a:ext>
          </a:extLst>
        </xdr:cNvPr>
        <xdr:cNvSpPr/>
      </xdr:nvSpPr>
      <xdr:spPr>
        <a:xfrm>
          <a:off x="1757028" y="5470919"/>
          <a:ext cx="1069415" cy="507592"/>
        </a:xfrm>
        <a:prstGeom prst="flowChartMagneticDisk">
          <a:avLst/>
        </a:prstGeom>
        <a:ln w="1270">
          <a:solidFill>
            <a:schemeClr val="tx1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lIns="36000" tIns="36000" rIns="36000" bIns="36000" rtlCol="0" anchor="b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抽出データ</a:t>
          </a:r>
          <a:endParaRPr kumimoji="1"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11</xdr:col>
      <xdr:colOff>494978</xdr:colOff>
      <xdr:row>17</xdr:row>
      <xdr:rowOff>19110</xdr:rowOff>
    </xdr:from>
    <xdr:to>
      <xdr:col>12</xdr:col>
      <xdr:colOff>409600</xdr:colOff>
      <xdr:row>17</xdr:row>
      <xdr:rowOff>20680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894232E5-DCE3-47F2-9088-E689E62690CB}"/>
            </a:ext>
          </a:extLst>
        </xdr:cNvPr>
        <xdr:cNvCxnSpPr>
          <a:stCxn id="95" idx="4"/>
          <a:endCxn id="100" idx="1"/>
        </xdr:cNvCxnSpPr>
      </xdr:nvCxnSpPr>
      <xdr:spPr>
        <a:xfrm>
          <a:off x="7200578" y="3371910"/>
          <a:ext cx="524222" cy="1570"/>
        </a:xfrm>
        <a:prstGeom prst="straightConnector1">
          <a:avLst/>
        </a:prstGeom>
        <a:ln w="38100">
          <a:solidFill>
            <a:schemeClr val="bg2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305442</xdr:colOff>
      <xdr:row>17</xdr:row>
      <xdr:rowOff>20680</xdr:rowOff>
    </xdr:from>
    <xdr:to>
      <xdr:col>14</xdr:col>
      <xdr:colOff>569274</xdr:colOff>
      <xdr:row>19</xdr:row>
      <xdr:rowOff>134554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B46507BA-064E-4B31-92FB-0A350C3C0B51}"/>
            </a:ext>
          </a:extLst>
        </xdr:cNvPr>
        <xdr:cNvCxnSpPr>
          <a:stCxn id="100" idx="3"/>
          <a:endCxn id="85" idx="2"/>
        </xdr:cNvCxnSpPr>
      </xdr:nvCxnSpPr>
      <xdr:spPr>
        <a:xfrm>
          <a:off x="8839842" y="3373480"/>
          <a:ext cx="263832" cy="532974"/>
        </a:xfrm>
        <a:prstGeom prst="straightConnector1">
          <a:avLst/>
        </a:prstGeom>
        <a:ln w="38100">
          <a:solidFill>
            <a:schemeClr val="accent5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273838</xdr:colOff>
      <xdr:row>21</xdr:row>
      <xdr:rowOff>116580</xdr:rowOff>
    </xdr:from>
    <xdr:to>
      <xdr:col>15</xdr:col>
      <xdr:colOff>494382</xdr:colOff>
      <xdr:row>28</xdr:row>
      <xdr:rowOff>69453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98F7F6DF-204A-4A86-B89D-C0B70099D84F}"/>
            </a:ext>
          </a:extLst>
        </xdr:cNvPr>
        <xdr:cNvCxnSpPr>
          <a:stCxn id="85" idx="3"/>
          <a:endCxn id="111" idx="3"/>
        </xdr:cNvCxnSpPr>
      </xdr:nvCxnSpPr>
      <xdr:spPr>
        <a:xfrm flipH="1">
          <a:off x="8808238" y="4307580"/>
          <a:ext cx="830144" cy="141972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36517</xdr:colOff>
      <xdr:row>28</xdr:row>
      <xdr:rowOff>66865</xdr:rowOff>
    </xdr:from>
    <xdr:to>
      <xdr:col>12</xdr:col>
      <xdr:colOff>377997</xdr:colOff>
      <xdr:row>28</xdr:row>
      <xdr:rowOff>69453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8F6D61AB-FC4B-48BF-A23B-4123F3B712A8}"/>
            </a:ext>
          </a:extLst>
        </xdr:cNvPr>
        <xdr:cNvCxnSpPr>
          <a:cxnSpLocks/>
          <a:stCxn id="111" idx="1"/>
          <a:endCxn id="86" idx="4"/>
        </xdr:cNvCxnSpPr>
      </xdr:nvCxnSpPr>
      <xdr:spPr>
        <a:xfrm flipH="1" flipV="1">
          <a:off x="7351717" y="5724715"/>
          <a:ext cx="341480" cy="258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520364</xdr:colOff>
      <xdr:row>28</xdr:row>
      <xdr:rowOff>66865</xdr:rowOff>
    </xdr:from>
    <xdr:to>
      <xdr:col>10</xdr:col>
      <xdr:colOff>34209</xdr:colOff>
      <xdr:row>28</xdr:row>
      <xdr:rowOff>66866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C6610038-6592-4F88-BDEE-B9C334FDFB8B}"/>
            </a:ext>
          </a:extLst>
        </xdr:cNvPr>
        <xdr:cNvCxnSpPr>
          <a:cxnSpLocks/>
          <a:stCxn id="86" idx="2"/>
          <a:endCxn id="118" idx="3"/>
        </xdr:cNvCxnSpPr>
      </xdr:nvCxnSpPr>
      <xdr:spPr>
        <a:xfrm flipH="1">
          <a:off x="4787564" y="5724715"/>
          <a:ext cx="1342645" cy="1"/>
        </a:xfrm>
        <a:prstGeom prst="straightConnector1">
          <a:avLst/>
        </a:prstGeom>
        <a:ln w="38100">
          <a:solidFill>
            <a:schemeClr val="accent4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388043</xdr:colOff>
      <xdr:row>28</xdr:row>
      <xdr:rowOff>66865</xdr:rowOff>
    </xdr:from>
    <xdr:to>
      <xdr:col>6</xdr:col>
      <xdr:colOff>20973</xdr:colOff>
      <xdr:row>28</xdr:row>
      <xdr:rowOff>66866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0F357247-63AF-4E8F-894F-EE1052E07C96}"/>
            </a:ext>
          </a:extLst>
        </xdr:cNvPr>
        <xdr:cNvCxnSpPr>
          <a:stCxn id="118" idx="1"/>
          <a:endCxn id="87" idx="4"/>
        </xdr:cNvCxnSpPr>
      </xdr:nvCxnSpPr>
      <xdr:spPr>
        <a:xfrm flipH="1" flipV="1">
          <a:off x="2826443" y="5724715"/>
          <a:ext cx="852130" cy="1"/>
        </a:xfrm>
        <a:prstGeom prst="straightConnector1">
          <a:avLst/>
        </a:prstGeom>
        <a:ln w="38100">
          <a:solidFill>
            <a:schemeClr val="accent4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29</xdr:row>
      <xdr:rowOff>89391</xdr:rowOff>
    </xdr:from>
    <xdr:to>
      <xdr:col>8</xdr:col>
      <xdr:colOff>423022</xdr:colOff>
      <xdr:row>30</xdr:row>
      <xdr:rowOff>134379</xdr:rowOff>
    </xdr:to>
    <xdr:sp macro="" textlink="">
      <xdr:nvSpPr>
        <xdr:cNvPr id="94" name="テキスト ボックス 67">
          <a:extLst>
            <a:ext uri="{FF2B5EF4-FFF2-40B4-BE49-F238E27FC236}">
              <a16:creationId xmlns:a16="http://schemas.microsoft.com/office/drawing/2014/main" id="{DE186FDC-283B-4E72-A6C1-178911D59BAB}"/>
            </a:ext>
          </a:extLst>
        </xdr:cNvPr>
        <xdr:cNvSpPr txBox="1"/>
      </xdr:nvSpPr>
      <xdr:spPr>
        <a:xfrm>
          <a:off x="3476625" y="5956791"/>
          <a:ext cx="1823197" cy="254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36000" rIns="36000" bIns="36000" rtlCol="0" anchor="t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研究の都度、研究者が作成</a:t>
          </a:r>
        </a:p>
      </xdr:txBody>
    </xdr:sp>
    <xdr:clientData/>
  </xdr:twoCellAnchor>
  <xdr:twoCellAnchor>
    <xdr:from>
      <xdr:col>10</xdr:col>
      <xdr:colOff>37544</xdr:colOff>
      <xdr:row>15</xdr:row>
      <xdr:rowOff>189176</xdr:rowOff>
    </xdr:from>
    <xdr:to>
      <xdr:col>11</xdr:col>
      <xdr:colOff>494978</xdr:colOff>
      <xdr:row>18</xdr:row>
      <xdr:rowOff>63355</xdr:rowOff>
    </xdr:to>
    <xdr:sp macro="" textlink="">
      <xdr:nvSpPr>
        <xdr:cNvPr id="95" name="フローチャート: 磁気ディスク 94">
          <a:extLst>
            <a:ext uri="{FF2B5EF4-FFF2-40B4-BE49-F238E27FC236}">
              <a16:creationId xmlns:a16="http://schemas.microsoft.com/office/drawing/2014/main" id="{557F570F-6502-4343-8C5B-2E8D7B006E9F}"/>
            </a:ext>
          </a:extLst>
        </xdr:cNvPr>
        <xdr:cNvSpPr/>
      </xdr:nvSpPr>
      <xdr:spPr>
        <a:xfrm>
          <a:off x="6133544" y="3122876"/>
          <a:ext cx="1067034" cy="502829"/>
        </a:xfrm>
        <a:prstGeom prst="flowChartMagneticDisk">
          <a:avLst/>
        </a:prstGeom>
        <a:solidFill>
          <a:schemeClr val="accent3"/>
        </a:solidFill>
        <a:ln w="1270"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wrap="square" lIns="36000" tIns="36000" rIns="36000" bIns="36000" rtlCol="0" anchor="b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中間テーブル</a:t>
          </a:r>
          <a:endParaRPr kumimoji="1"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7</xdr:col>
      <xdr:colOff>88974</xdr:colOff>
      <xdr:row>17</xdr:row>
      <xdr:rowOff>20681</xdr:rowOff>
    </xdr:from>
    <xdr:to>
      <xdr:col>7</xdr:col>
      <xdr:colOff>542862</xdr:colOff>
      <xdr:row>17</xdr:row>
      <xdr:rowOff>20682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D6A2DFCE-9308-4002-98FE-AFC90670CC46}"/>
            </a:ext>
          </a:extLst>
        </xdr:cNvPr>
        <xdr:cNvCxnSpPr>
          <a:stCxn id="78" idx="4"/>
          <a:endCxn id="105" idx="1"/>
        </xdr:cNvCxnSpPr>
      </xdr:nvCxnSpPr>
      <xdr:spPr>
        <a:xfrm flipV="1">
          <a:off x="4356174" y="3373481"/>
          <a:ext cx="453888" cy="1"/>
        </a:xfrm>
        <a:prstGeom prst="straightConnector1">
          <a:avLst/>
        </a:prstGeom>
        <a:ln w="38100">
          <a:solidFill>
            <a:schemeClr val="bg2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438562</xdr:colOff>
      <xdr:row>17</xdr:row>
      <xdr:rowOff>19109</xdr:rowOff>
    </xdr:from>
    <xdr:to>
      <xdr:col>10</xdr:col>
      <xdr:colOff>37544</xdr:colOff>
      <xdr:row>17</xdr:row>
      <xdr:rowOff>20681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250FE1D4-2C58-4921-9F95-1C7FDBE2EB3F}"/>
            </a:ext>
          </a:extLst>
        </xdr:cNvPr>
        <xdr:cNvCxnSpPr>
          <a:stCxn id="105" idx="3"/>
          <a:endCxn id="95" idx="2"/>
        </xdr:cNvCxnSpPr>
      </xdr:nvCxnSpPr>
      <xdr:spPr>
        <a:xfrm flipV="1">
          <a:off x="5924962" y="3371909"/>
          <a:ext cx="208582" cy="1572"/>
        </a:xfrm>
        <a:prstGeom prst="straightConnector1">
          <a:avLst/>
        </a:prstGeom>
        <a:ln w="38100">
          <a:solidFill>
            <a:schemeClr val="bg2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172316</xdr:colOff>
      <xdr:row>14</xdr:row>
      <xdr:rowOff>137755</xdr:rowOff>
    </xdr:from>
    <xdr:to>
      <xdr:col>14</xdr:col>
      <xdr:colOff>305442</xdr:colOff>
      <xdr:row>18</xdr:row>
      <xdr:rowOff>34507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B6895470-0A06-49AE-9F7A-37E7EB5F0700}"/>
            </a:ext>
          </a:extLst>
        </xdr:cNvPr>
        <xdr:cNvGrpSpPr/>
      </xdr:nvGrpSpPr>
      <xdr:grpSpPr>
        <a:xfrm>
          <a:off x="7458941" y="3138130"/>
          <a:ext cx="1347564" cy="754002"/>
          <a:chOff x="9036441" y="819560"/>
          <a:chExt cx="1594822" cy="892350"/>
        </a:xfrm>
      </xdr:grpSpPr>
      <xdr:sp macro="" textlink="">
        <xdr:nvSpPr>
          <xdr:cNvPr id="99" name="フローチャート: 処理 98">
            <a:extLst>
              <a:ext uri="{FF2B5EF4-FFF2-40B4-BE49-F238E27FC236}">
                <a16:creationId xmlns:a16="http://schemas.microsoft.com/office/drawing/2014/main" id="{BD286BE9-00B4-430E-9F25-FC15E6B3ACE5}"/>
              </a:ext>
            </a:extLst>
          </xdr:cNvPr>
          <xdr:cNvSpPr/>
        </xdr:nvSpPr>
        <xdr:spPr>
          <a:xfrm>
            <a:off x="9122421" y="983788"/>
            <a:ext cx="180000" cy="180000"/>
          </a:xfrm>
          <a:prstGeom prst="flowChartProcess">
            <a:avLst/>
          </a:prstGeom>
          <a:solidFill>
            <a:schemeClr val="accent5"/>
          </a:solidFill>
          <a:ln w="1270">
            <a:solidFill>
              <a:schemeClr val="tx1"/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  <xdr:sp macro="" textlink="">
        <xdr:nvSpPr>
          <xdr:cNvPr id="100" name="フローチャート: 処理 99">
            <a:extLst>
              <a:ext uri="{FF2B5EF4-FFF2-40B4-BE49-F238E27FC236}">
                <a16:creationId xmlns:a16="http://schemas.microsoft.com/office/drawing/2014/main" id="{BA97F84A-DD70-449B-A4CF-9E02905E89B7}"/>
              </a:ext>
            </a:extLst>
          </xdr:cNvPr>
          <xdr:cNvSpPr/>
        </xdr:nvSpPr>
        <xdr:spPr>
          <a:xfrm>
            <a:off x="9317263" y="1171910"/>
            <a:ext cx="1314000" cy="540000"/>
          </a:xfrm>
          <a:prstGeom prst="flowChartProcess">
            <a:avLst/>
          </a:prstGeom>
          <a:solidFill>
            <a:schemeClr val="accent5"/>
          </a:solidFill>
          <a:ln w="1270">
            <a:solidFill>
              <a:schemeClr val="tx1"/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200"/>
              </a:lnSpc>
            </a:pPr>
            <a:r>
              <a:rPr kumimoji="1" lang="en-US" altLang="ja-JP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SS-MIX2</a:t>
            </a:r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データ</a:t>
            </a:r>
            <a:endParaRPr kumimoji="1" lang="en-US" altLang="ja-JP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  <a:p>
            <a:pPr algn="ctr">
              <a:lnSpc>
                <a:spcPts val="1200"/>
              </a:lnSpc>
            </a:pPr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取込プログラム</a:t>
            </a:r>
          </a:p>
        </xdr:txBody>
      </xdr:sp>
      <xdr:sp macro="" textlink="">
        <xdr:nvSpPr>
          <xdr:cNvPr id="101" name="テキスト ボックス 62">
            <a:extLst>
              <a:ext uri="{FF2B5EF4-FFF2-40B4-BE49-F238E27FC236}">
                <a16:creationId xmlns:a16="http://schemas.microsoft.com/office/drawing/2014/main" id="{4279E024-9168-4BA4-9FA6-58CF00CF1C65}"/>
              </a:ext>
            </a:extLst>
          </xdr:cNvPr>
          <xdr:cNvSpPr txBox="1"/>
        </xdr:nvSpPr>
        <xdr:spPr>
          <a:xfrm>
            <a:off x="9316965" y="919185"/>
            <a:ext cx="748922" cy="3399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t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日時処理</a:t>
            </a:r>
          </a:p>
        </xdr:txBody>
      </xdr:sp>
      <xdr:sp macro="" textlink="">
        <xdr:nvSpPr>
          <xdr:cNvPr id="102" name="円弧 101">
            <a:extLst>
              <a:ext uri="{FF2B5EF4-FFF2-40B4-BE49-F238E27FC236}">
                <a16:creationId xmlns:a16="http://schemas.microsoft.com/office/drawing/2014/main" id="{9AB03C14-B54B-40FC-8929-BB70CF7CD063}"/>
              </a:ext>
            </a:extLst>
          </xdr:cNvPr>
          <xdr:cNvSpPr/>
        </xdr:nvSpPr>
        <xdr:spPr>
          <a:xfrm>
            <a:off x="9036441" y="819560"/>
            <a:ext cx="180000" cy="180000"/>
          </a:xfrm>
          <a:prstGeom prst="arc">
            <a:avLst>
              <a:gd name="adj1" fmla="val 5905618"/>
              <a:gd name="adj2" fmla="val 2988727"/>
            </a:avLst>
          </a:prstGeom>
          <a:ln w="38100">
            <a:solidFill>
              <a:schemeClr val="accent5"/>
            </a:solidFill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lIns="36000" tIns="36000" rIns="36000" bIns="36000" rtlCol="0" anchor="t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</xdr:grpSp>
    <xdr:clientData/>
  </xdr:twoCellAnchor>
  <xdr:twoCellAnchor>
    <xdr:from>
      <xdr:col>7</xdr:col>
      <xdr:colOff>304264</xdr:colOff>
      <xdr:row>14</xdr:row>
      <xdr:rowOff>169362</xdr:rowOff>
    </xdr:from>
    <xdr:to>
      <xdr:col>9</xdr:col>
      <xdr:colOff>438562</xdr:colOff>
      <xdr:row>18</xdr:row>
      <xdr:rowOff>34507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3A980836-018D-4CB6-85E0-D930BEB80D47}"/>
            </a:ext>
          </a:extLst>
        </xdr:cNvPr>
        <xdr:cNvGrpSpPr/>
      </xdr:nvGrpSpPr>
      <xdr:grpSpPr>
        <a:xfrm>
          <a:off x="4554795" y="3169737"/>
          <a:ext cx="1348736" cy="722395"/>
          <a:chOff x="5516084" y="856966"/>
          <a:chExt cx="1596209" cy="854944"/>
        </a:xfrm>
      </xdr:grpSpPr>
      <xdr:sp macro="" textlink="">
        <xdr:nvSpPr>
          <xdr:cNvPr id="104" name="フローチャート: 処理 103">
            <a:extLst>
              <a:ext uri="{FF2B5EF4-FFF2-40B4-BE49-F238E27FC236}">
                <a16:creationId xmlns:a16="http://schemas.microsoft.com/office/drawing/2014/main" id="{34461703-36EE-4EEC-9203-C78C197939DE}"/>
              </a:ext>
            </a:extLst>
          </xdr:cNvPr>
          <xdr:cNvSpPr/>
        </xdr:nvSpPr>
        <xdr:spPr>
          <a:xfrm>
            <a:off x="5612103" y="1000431"/>
            <a:ext cx="180000" cy="180000"/>
          </a:xfrm>
          <a:prstGeom prst="flowChartProcess">
            <a:avLst/>
          </a:prstGeom>
          <a:solidFill>
            <a:schemeClr val="accent3"/>
          </a:solidFill>
          <a:ln w="1270">
            <a:solidFill>
              <a:schemeClr val="tx1"/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  <xdr:sp macro="" textlink="">
        <xdr:nvSpPr>
          <xdr:cNvPr id="105" name="フローチャート: 処理 104">
            <a:extLst>
              <a:ext uri="{FF2B5EF4-FFF2-40B4-BE49-F238E27FC236}">
                <a16:creationId xmlns:a16="http://schemas.microsoft.com/office/drawing/2014/main" id="{EE1A1513-BC6B-4D09-9570-85C6FFACEAF2}"/>
              </a:ext>
            </a:extLst>
          </xdr:cNvPr>
          <xdr:cNvSpPr/>
        </xdr:nvSpPr>
        <xdr:spPr>
          <a:xfrm>
            <a:off x="5798462" y="1171910"/>
            <a:ext cx="1313831" cy="540000"/>
          </a:xfrm>
          <a:prstGeom prst="flowChartProcess">
            <a:avLst/>
          </a:prstGeom>
          <a:solidFill>
            <a:schemeClr val="accent3"/>
          </a:solidFill>
          <a:ln w="1270">
            <a:solidFill>
              <a:schemeClr val="tx1"/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200"/>
              </a:lnSpc>
            </a:pPr>
            <a:r>
              <a:rPr kumimoji="1" lang="en-US" altLang="ja-JP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SS-MIX2</a:t>
            </a:r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データ</a:t>
            </a:r>
            <a:endParaRPr kumimoji="1" lang="en-US" altLang="ja-JP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  <a:p>
            <a:pPr algn="ctr">
              <a:lnSpc>
                <a:spcPts val="1200"/>
              </a:lnSpc>
            </a:pPr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取込プログラム</a:t>
            </a:r>
          </a:p>
        </xdr:txBody>
      </xdr:sp>
      <xdr:sp macro="" textlink="">
        <xdr:nvSpPr>
          <xdr:cNvPr id="106" name="テキスト ボックス 80">
            <a:extLst>
              <a:ext uri="{FF2B5EF4-FFF2-40B4-BE49-F238E27FC236}">
                <a16:creationId xmlns:a16="http://schemas.microsoft.com/office/drawing/2014/main" id="{BBD14769-C41F-4C6C-9C3F-0A09FFC23417}"/>
              </a:ext>
            </a:extLst>
          </xdr:cNvPr>
          <xdr:cNvSpPr txBox="1"/>
        </xdr:nvSpPr>
        <xdr:spPr>
          <a:xfrm>
            <a:off x="5793936" y="923389"/>
            <a:ext cx="748922" cy="3399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t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日時処理</a:t>
            </a:r>
          </a:p>
        </xdr:txBody>
      </xdr:sp>
      <xdr:sp macro="" textlink="">
        <xdr:nvSpPr>
          <xdr:cNvPr id="107" name="円弧 106">
            <a:extLst>
              <a:ext uri="{FF2B5EF4-FFF2-40B4-BE49-F238E27FC236}">
                <a16:creationId xmlns:a16="http://schemas.microsoft.com/office/drawing/2014/main" id="{8D0CCE03-2BED-4212-9C36-CE569A7C295E}"/>
              </a:ext>
            </a:extLst>
          </xdr:cNvPr>
          <xdr:cNvSpPr/>
        </xdr:nvSpPr>
        <xdr:spPr>
          <a:xfrm>
            <a:off x="5516084" y="856966"/>
            <a:ext cx="180000" cy="180000"/>
          </a:xfrm>
          <a:prstGeom prst="arc">
            <a:avLst>
              <a:gd name="adj1" fmla="val 5905618"/>
              <a:gd name="adj2" fmla="val 2988727"/>
            </a:avLst>
          </a:prstGeom>
          <a:ln w="38100">
            <a:solidFill>
              <a:schemeClr val="bg2">
                <a:lumMod val="75000"/>
              </a:schemeClr>
            </a:solidFill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lIns="36000" tIns="36000" rIns="36000" bIns="36000" rtlCol="0" anchor="t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</xdr:grpSp>
    <xdr:clientData/>
  </xdr:twoCellAnchor>
  <xdr:twoCellAnchor>
    <xdr:from>
      <xdr:col>2</xdr:col>
      <xdr:colOff>365707</xdr:colOff>
      <xdr:row>14</xdr:row>
      <xdr:rowOff>154339</xdr:rowOff>
    </xdr:from>
    <xdr:to>
      <xdr:col>2</xdr:col>
      <xdr:colOff>517800</xdr:colOff>
      <xdr:row>15</xdr:row>
      <xdr:rowOff>92120</xdr:rowOff>
    </xdr:to>
    <xdr:sp macro="" textlink="">
      <xdr:nvSpPr>
        <xdr:cNvPr id="108" name="円弧 107">
          <a:extLst>
            <a:ext uri="{FF2B5EF4-FFF2-40B4-BE49-F238E27FC236}">
              <a16:creationId xmlns:a16="http://schemas.microsoft.com/office/drawing/2014/main" id="{44697F61-8986-4F99-8BAE-D2D864F4AF49}"/>
            </a:ext>
          </a:extLst>
        </xdr:cNvPr>
        <xdr:cNvSpPr/>
      </xdr:nvSpPr>
      <xdr:spPr>
        <a:xfrm>
          <a:off x="1584907" y="2878489"/>
          <a:ext cx="152093" cy="147331"/>
        </a:xfrm>
        <a:prstGeom prst="arc">
          <a:avLst>
            <a:gd name="adj1" fmla="val 5905618"/>
            <a:gd name="adj2" fmla="val 2988727"/>
          </a:avLst>
        </a:prstGeom>
        <a:ln w="38100">
          <a:solidFill>
            <a:schemeClr val="accent1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lIns="36000" tIns="36000" rIns="36000" bIns="36000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12</xdr:col>
      <xdr:colOff>149705</xdr:colOff>
      <xdr:row>25</xdr:row>
      <xdr:rowOff>187981</xdr:rowOff>
    </xdr:from>
    <xdr:to>
      <xdr:col>14</xdr:col>
      <xdr:colOff>273838</xdr:colOff>
      <xdr:row>29</xdr:row>
      <xdr:rowOff>83280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45963499-3B0D-4F73-8966-70D3D3F4270D}"/>
            </a:ext>
          </a:extLst>
        </xdr:cNvPr>
        <xdr:cNvGrpSpPr/>
      </xdr:nvGrpSpPr>
      <xdr:grpSpPr>
        <a:xfrm>
          <a:off x="7436330" y="5545794"/>
          <a:ext cx="1338571" cy="752549"/>
          <a:chOff x="8727170" y="4177269"/>
          <a:chExt cx="1584179" cy="890630"/>
        </a:xfrm>
      </xdr:grpSpPr>
      <xdr:sp macro="" textlink="">
        <xdr:nvSpPr>
          <xdr:cNvPr id="110" name="フローチャート: 処理 109">
            <a:extLst>
              <a:ext uri="{FF2B5EF4-FFF2-40B4-BE49-F238E27FC236}">
                <a16:creationId xmlns:a16="http://schemas.microsoft.com/office/drawing/2014/main" id="{003E73CA-AEF7-4F16-B5DA-402CAF24DB62}"/>
              </a:ext>
            </a:extLst>
          </xdr:cNvPr>
          <xdr:cNvSpPr/>
        </xdr:nvSpPr>
        <xdr:spPr>
          <a:xfrm>
            <a:off x="8804114" y="4316379"/>
            <a:ext cx="191949" cy="201490"/>
          </a:xfrm>
          <a:prstGeom prst="flowChartProcess">
            <a:avLst/>
          </a:prstGeom>
          <a:ln w="1270">
            <a:solidFill>
              <a:schemeClr val="tx1"/>
            </a:solidFill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wrap="square" lIns="36000" tIns="36000" rIns="36000" bIns="36000" rtlCol="0" anchor="t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  <xdr:sp macro="" textlink="">
        <xdr:nvSpPr>
          <xdr:cNvPr id="111" name="フローチャート: 処理 110">
            <a:extLst>
              <a:ext uri="{FF2B5EF4-FFF2-40B4-BE49-F238E27FC236}">
                <a16:creationId xmlns:a16="http://schemas.microsoft.com/office/drawing/2014/main" id="{67D4DD77-6C04-48FE-B9E1-0C61A8E24724}"/>
              </a:ext>
            </a:extLst>
          </xdr:cNvPr>
          <xdr:cNvSpPr/>
        </xdr:nvSpPr>
        <xdr:spPr>
          <a:xfrm>
            <a:off x="8997350" y="4527900"/>
            <a:ext cx="1313999" cy="539999"/>
          </a:xfrm>
          <a:prstGeom prst="flowChartProcess">
            <a:avLst/>
          </a:prstGeom>
          <a:ln w="1270">
            <a:solidFill>
              <a:sysClr val="windowText" lastClr="000000"/>
            </a:solidFill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200"/>
              </a:lnSpc>
            </a:pPr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標準データ</a:t>
            </a:r>
            <a:endParaRPr kumimoji="1" lang="en-US" altLang="ja-JP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  <a:p>
            <a:pPr algn="ctr">
              <a:lnSpc>
                <a:spcPts val="1200"/>
              </a:lnSpc>
            </a:pPr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抽出プログラム</a:t>
            </a:r>
          </a:p>
        </xdr:txBody>
      </xdr:sp>
      <xdr:sp macro="" textlink="">
        <xdr:nvSpPr>
          <xdr:cNvPr id="112" name="テキスト ボックス 63">
            <a:extLst>
              <a:ext uri="{FF2B5EF4-FFF2-40B4-BE49-F238E27FC236}">
                <a16:creationId xmlns:a16="http://schemas.microsoft.com/office/drawing/2014/main" id="{01297F57-8762-42E2-BB58-FCC9597E6D3C}"/>
              </a:ext>
            </a:extLst>
          </xdr:cNvPr>
          <xdr:cNvSpPr txBox="1"/>
        </xdr:nvSpPr>
        <xdr:spPr>
          <a:xfrm>
            <a:off x="9007593" y="4272358"/>
            <a:ext cx="466794" cy="33995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t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随時</a:t>
            </a:r>
          </a:p>
        </xdr:txBody>
      </xdr:sp>
      <xdr:sp macro="" textlink="">
        <xdr:nvSpPr>
          <xdr:cNvPr id="113" name="円弧 112">
            <a:extLst>
              <a:ext uri="{FF2B5EF4-FFF2-40B4-BE49-F238E27FC236}">
                <a16:creationId xmlns:a16="http://schemas.microsoft.com/office/drawing/2014/main" id="{99F728C9-E156-4FD9-BEDD-CEDA89169EB5}"/>
              </a:ext>
            </a:extLst>
          </xdr:cNvPr>
          <xdr:cNvSpPr/>
        </xdr:nvSpPr>
        <xdr:spPr>
          <a:xfrm>
            <a:off x="8727170" y="4177269"/>
            <a:ext cx="180000" cy="180000"/>
          </a:xfrm>
          <a:prstGeom prst="arc">
            <a:avLst>
              <a:gd name="adj1" fmla="val 5905618"/>
              <a:gd name="adj2" fmla="val 2988727"/>
            </a:avLst>
          </a:prstGeom>
          <a:ln w="38100">
            <a:solidFill>
              <a:schemeClr val="accent6"/>
            </a:solidFill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lIns="36000" tIns="36000" rIns="36000" bIns="36000" rtlCol="0" anchor="t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</xdr:grpSp>
    <xdr:clientData/>
  </xdr:twoCellAnchor>
  <xdr:twoCellAnchor>
    <xdr:from>
      <xdr:col>14</xdr:col>
      <xdr:colOff>575853</xdr:colOff>
      <xdr:row>26</xdr:row>
      <xdr:rowOff>96664</xdr:rowOff>
    </xdr:from>
    <xdr:to>
      <xdr:col>16</xdr:col>
      <xdr:colOff>426068</xdr:colOff>
      <xdr:row>30</xdr:row>
      <xdr:rowOff>48891</xdr:rowOff>
    </xdr:to>
    <xdr:sp macro="" textlink="">
      <xdr:nvSpPr>
        <xdr:cNvPr id="114" name="フローチャート: 磁気ディスク 113">
          <a:extLst>
            <a:ext uri="{FF2B5EF4-FFF2-40B4-BE49-F238E27FC236}">
              <a16:creationId xmlns:a16="http://schemas.microsoft.com/office/drawing/2014/main" id="{169CD66C-8FEB-4CD5-A658-961353DB0644}"/>
            </a:ext>
          </a:extLst>
        </xdr:cNvPr>
        <xdr:cNvSpPr/>
      </xdr:nvSpPr>
      <xdr:spPr>
        <a:xfrm>
          <a:off x="9110253" y="5335414"/>
          <a:ext cx="1069415" cy="790427"/>
        </a:xfrm>
        <a:prstGeom prst="flowChartMagneticDisk">
          <a:avLst/>
        </a:prstGeom>
        <a:solidFill>
          <a:schemeClr val="accent2"/>
        </a:solidFill>
        <a:ln w="1270">
          <a:solidFill>
            <a:schemeClr val="tx1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wrap="square" lIns="36000" tIns="36000" rIns="36000" bIns="36000" rtlCol="0" anchor="b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〇〇標準コード</a:t>
          </a:r>
          <a:endParaRPr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変換マスタ</a:t>
          </a:r>
        </a:p>
      </xdr:txBody>
    </xdr:sp>
    <xdr:clientData/>
  </xdr:twoCellAnchor>
  <xdr:twoCellAnchor>
    <xdr:from>
      <xdr:col>14</xdr:col>
      <xdr:colOff>273838</xdr:colOff>
      <xdr:row>28</xdr:row>
      <xdr:rowOff>69453</xdr:rowOff>
    </xdr:from>
    <xdr:to>
      <xdr:col>14</xdr:col>
      <xdr:colOff>575853</xdr:colOff>
      <xdr:row>28</xdr:row>
      <xdr:rowOff>72778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D7CD4D66-7DAD-4CF1-9375-3ABA516A2A4D}"/>
            </a:ext>
          </a:extLst>
        </xdr:cNvPr>
        <xdr:cNvCxnSpPr>
          <a:cxnSpLocks/>
          <a:stCxn id="114" idx="2"/>
          <a:endCxn id="111" idx="3"/>
        </xdr:cNvCxnSpPr>
      </xdr:nvCxnSpPr>
      <xdr:spPr>
        <a:xfrm flipH="1" flipV="1">
          <a:off x="8808238" y="5727303"/>
          <a:ext cx="302015" cy="3325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395179</xdr:colOff>
      <xdr:row>25</xdr:row>
      <xdr:rowOff>180993</xdr:rowOff>
    </xdr:from>
    <xdr:to>
      <xdr:col>7</xdr:col>
      <xdr:colOff>520364</xdr:colOff>
      <xdr:row>29</xdr:row>
      <xdr:rowOff>80693</xdr:rowOff>
    </xdr:to>
    <xdr:grpSp>
      <xdr:nvGrpSpPr>
        <xdr:cNvPr id="116" name="グループ化 115">
          <a:extLst>
            <a:ext uri="{FF2B5EF4-FFF2-40B4-BE49-F238E27FC236}">
              <a16:creationId xmlns:a16="http://schemas.microsoft.com/office/drawing/2014/main" id="{BBF57FEE-3D7A-43AC-9EFA-73146CF75BE3}"/>
            </a:ext>
          </a:extLst>
        </xdr:cNvPr>
        <xdr:cNvGrpSpPr/>
      </xdr:nvGrpSpPr>
      <xdr:grpSpPr>
        <a:xfrm>
          <a:off x="3431273" y="5538806"/>
          <a:ext cx="1339622" cy="756950"/>
          <a:chOff x="4815099" y="4088823"/>
          <a:chExt cx="1585422" cy="895839"/>
        </a:xfrm>
      </xdr:grpSpPr>
      <xdr:sp macro="" textlink="">
        <xdr:nvSpPr>
          <xdr:cNvPr id="117" name="フローチャート: 処理 116">
            <a:extLst>
              <a:ext uri="{FF2B5EF4-FFF2-40B4-BE49-F238E27FC236}">
                <a16:creationId xmlns:a16="http://schemas.microsoft.com/office/drawing/2014/main" id="{150E372D-3CF0-465A-A29D-FAAA95DFE9EA}"/>
              </a:ext>
            </a:extLst>
          </xdr:cNvPr>
          <xdr:cNvSpPr/>
        </xdr:nvSpPr>
        <xdr:spPr>
          <a:xfrm>
            <a:off x="4905099" y="4242658"/>
            <a:ext cx="195055" cy="201490"/>
          </a:xfrm>
          <a:prstGeom prst="flowChartProcess">
            <a:avLst/>
          </a:prstGeom>
          <a:ln w="1270">
            <a:solidFill>
              <a:schemeClr val="tx1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wrap="square" lIns="36000" tIns="36000" rIns="36000" bIns="36000" rtlCol="0" anchor="t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  <xdr:sp macro="" textlink="">
        <xdr:nvSpPr>
          <xdr:cNvPr id="118" name="フローチャート: 処理 117">
            <a:extLst>
              <a:ext uri="{FF2B5EF4-FFF2-40B4-BE49-F238E27FC236}">
                <a16:creationId xmlns:a16="http://schemas.microsoft.com/office/drawing/2014/main" id="{0634FD04-B4D5-4266-8359-BF8DF6FC1E28}"/>
              </a:ext>
            </a:extLst>
          </xdr:cNvPr>
          <xdr:cNvSpPr/>
        </xdr:nvSpPr>
        <xdr:spPr>
          <a:xfrm>
            <a:off x="5090866" y="4444663"/>
            <a:ext cx="1309655" cy="539999"/>
          </a:xfrm>
          <a:prstGeom prst="flowChartProcess">
            <a:avLst/>
          </a:prstGeom>
          <a:ln w="1270">
            <a:solidFill>
              <a:schemeClr val="tx1"/>
            </a:solidFill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200"/>
              </a:lnSpc>
            </a:pPr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データ抽出</a:t>
            </a:r>
            <a:endParaRPr kumimoji="1" lang="en-US" altLang="ja-JP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  <a:p>
            <a:pPr algn="ctr">
              <a:lnSpc>
                <a:spcPts val="1200"/>
              </a:lnSpc>
            </a:pPr>
            <a:r>
              <a:rPr kumimoji="1" lang="en-US" altLang="ja-JP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SQL</a:t>
            </a:r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  <xdr:sp macro="" textlink="">
        <xdr:nvSpPr>
          <xdr:cNvPr id="119" name="テキスト ボックス 64">
            <a:extLst>
              <a:ext uri="{FF2B5EF4-FFF2-40B4-BE49-F238E27FC236}">
                <a16:creationId xmlns:a16="http://schemas.microsoft.com/office/drawing/2014/main" id="{6022F941-35EB-4F6F-986E-97AC89C8B22A}"/>
              </a:ext>
            </a:extLst>
          </xdr:cNvPr>
          <xdr:cNvSpPr txBox="1"/>
        </xdr:nvSpPr>
        <xdr:spPr>
          <a:xfrm>
            <a:off x="5116733" y="4189149"/>
            <a:ext cx="1031051" cy="3399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t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研究毎に実施</a:t>
            </a:r>
          </a:p>
        </xdr:txBody>
      </xdr:sp>
      <xdr:sp macro="" textlink="">
        <xdr:nvSpPr>
          <xdr:cNvPr id="120" name="円弧 119">
            <a:extLst>
              <a:ext uri="{FF2B5EF4-FFF2-40B4-BE49-F238E27FC236}">
                <a16:creationId xmlns:a16="http://schemas.microsoft.com/office/drawing/2014/main" id="{A79AA4D5-67A6-44C2-B6B2-93C59CBA3D1D}"/>
              </a:ext>
            </a:extLst>
          </xdr:cNvPr>
          <xdr:cNvSpPr/>
        </xdr:nvSpPr>
        <xdr:spPr>
          <a:xfrm>
            <a:off x="4815099" y="4088823"/>
            <a:ext cx="180000" cy="180000"/>
          </a:xfrm>
          <a:prstGeom prst="arc">
            <a:avLst>
              <a:gd name="adj1" fmla="val 5905618"/>
              <a:gd name="adj2" fmla="val 2988727"/>
            </a:avLst>
          </a:prstGeom>
          <a:ln w="38100">
            <a:solidFill>
              <a:schemeClr val="accent4"/>
            </a:solidFill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lIns="36000" tIns="36000" rIns="36000" bIns="36000" rtlCol="0" anchor="t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</xdr:grpSp>
    <xdr:clientData/>
  </xdr:twoCellAnchor>
  <xdr:twoCellAnchor>
    <xdr:from>
      <xdr:col>9</xdr:col>
      <xdr:colOff>485927</xdr:colOff>
      <xdr:row>14</xdr:row>
      <xdr:rowOff>0</xdr:rowOff>
    </xdr:from>
    <xdr:to>
      <xdr:col>16</xdr:col>
      <xdr:colOff>502444</xdr:colOff>
      <xdr:row>31</xdr:row>
      <xdr:rowOff>82449</xdr:rowOff>
    </xdr:to>
    <xdr:sp macro="" textlink="">
      <xdr:nvSpPr>
        <xdr:cNvPr id="121" name="フリーフォーム 237">
          <a:extLst>
            <a:ext uri="{FF2B5EF4-FFF2-40B4-BE49-F238E27FC236}">
              <a16:creationId xmlns:a16="http://schemas.microsoft.com/office/drawing/2014/main" id="{523F3CB3-029F-4EEE-8E98-666A2E19F8C4}"/>
            </a:ext>
          </a:extLst>
        </xdr:cNvPr>
        <xdr:cNvSpPr/>
      </xdr:nvSpPr>
      <xdr:spPr>
        <a:xfrm>
          <a:off x="5972327" y="2724150"/>
          <a:ext cx="4283717" cy="3644799"/>
        </a:xfrm>
        <a:custGeom>
          <a:avLst/>
          <a:gdLst>
            <a:gd name="connsiteX0" fmla="*/ 1861073 w 5454127"/>
            <a:gd name="connsiteY0" fmla="*/ 0 h 5550945"/>
            <a:gd name="connsiteX1" fmla="*/ 1861073 w 5454127"/>
            <a:gd name="connsiteY1" fmla="*/ 3205778 h 5550945"/>
            <a:gd name="connsiteX2" fmla="*/ 0 w 5454127"/>
            <a:gd name="connsiteY2" fmla="*/ 3205778 h 5550945"/>
            <a:gd name="connsiteX3" fmla="*/ 0 w 5454127"/>
            <a:gd name="connsiteY3" fmla="*/ 5550945 h 5550945"/>
            <a:gd name="connsiteX4" fmla="*/ 5454127 w 5454127"/>
            <a:gd name="connsiteY4" fmla="*/ 5550945 h 5550945"/>
            <a:gd name="connsiteX5" fmla="*/ 5454127 w 5454127"/>
            <a:gd name="connsiteY5" fmla="*/ 32272 h 5550945"/>
            <a:gd name="connsiteX6" fmla="*/ 1871831 w 5454127"/>
            <a:gd name="connsiteY6" fmla="*/ 32272 h 5550945"/>
            <a:gd name="connsiteX0" fmla="*/ 1861073 w 5454127"/>
            <a:gd name="connsiteY0" fmla="*/ 0 h 5550945"/>
            <a:gd name="connsiteX1" fmla="*/ 1861073 w 5454127"/>
            <a:gd name="connsiteY1" fmla="*/ 3205778 h 5550945"/>
            <a:gd name="connsiteX2" fmla="*/ 0 w 5454127"/>
            <a:gd name="connsiteY2" fmla="*/ 3205778 h 5550945"/>
            <a:gd name="connsiteX3" fmla="*/ 0 w 5454127"/>
            <a:gd name="connsiteY3" fmla="*/ 5550945 h 5550945"/>
            <a:gd name="connsiteX4" fmla="*/ 5454127 w 5454127"/>
            <a:gd name="connsiteY4" fmla="*/ 5550945 h 5550945"/>
            <a:gd name="connsiteX5" fmla="*/ 5454127 w 5454127"/>
            <a:gd name="connsiteY5" fmla="*/ 32272 h 5550945"/>
            <a:gd name="connsiteX6" fmla="*/ 1863859 w 5454127"/>
            <a:gd name="connsiteY6" fmla="*/ 36082 h 5550945"/>
            <a:gd name="connsiteX0" fmla="*/ 1861073 w 5454127"/>
            <a:gd name="connsiteY0" fmla="*/ 17258 h 5518673"/>
            <a:gd name="connsiteX1" fmla="*/ 1861073 w 5454127"/>
            <a:gd name="connsiteY1" fmla="*/ 3173506 h 5518673"/>
            <a:gd name="connsiteX2" fmla="*/ 0 w 5454127"/>
            <a:gd name="connsiteY2" fmla="*/ 3173506 h 5518673"/>
            <a:gd name="connsiteX3" fmla="*/ 0 w 5454127"/>
            <a:gd name="connsiteY3" fmla="*/ 5518673 h 5518673"/>
            <a:gd name="connsiteX4" fmla="*/ 5454127 w 5454127"/>
            <a:gd name="connsiteY4" fmla="*/ 5518673 h 5518673"/>
            <a:gd name="connsiteX5" fmla="*/ 5454127 w 5454127"/>
            <a:gd name="connsiteY5" fmla="*/ 0 h 5518673"/>
            <a:gd name="connsiteX6" fmla="*/ 1863859 w 5454127"/>
            <a:gd name="connsiteY6" fmla="*/ 3810 h 5518673"/>
            <a:gd name="connsiteX0" fmla="*/ 1861073 w 5454127"/>
            <a:gd name="connsiteY0" fmla="*/ 17258 h 5518673"/>
            <a:gd name="connsiteX1" fmla="*/ 1861073 w 5454127"/>
            <a:gd name="connsiteY1" fmla="*/ 3173506 h 5518673"/>
            <a:gd name="connsiteX2" fmla="*/ 0 w 5454127"/>
            <a:gd name="connsiteY2" fmla="*/ 3173506 h 5518673"/>
            <a:gd name="connsiteX3" fmla="*/ 0 w 5454127"/>
            <a:gd name="connsiteY3" fmla="*/ 5518673 h 5518673"/>
            <a:gd name="connsiteX4" fmla="*/ 5454127 w 5454127"/>
            <a:gd name="connsiteY4" fmla="*/ 5518673 h 5518673"/>
            <a:gd name="connsiteX5" fmla="*/ 5454127 w 5454127"/>
            <a:gd name="connsiteY5" fmla="*/ 0 h 5518673"/>
            <a:gd name="connsiteX6" fmla="*/ 1863859 w 5454127"/>
            <a:gd name="connsiteY6" fmla="*/ 3810 h 5518673"/>
            <a:gd name="connsiteX7" fmla="*/ 1861073 w 5454127"/>
            <a:gd name="connsiteY7" fmla="*/ 17258 h 5518673"/>
            <a:gd name="connsiteX0" fmla="*/ 1863859 w 5454127"/>
            <a:gd name="connsiteY0" fmla="*/ 3810 h 5518673"/>
            <a:gd name="connsiteX1" fmla="*/ 1861073 w 5454127"/>
            <a:gd name="connsiteY1" fmla="*/ 3173506 h 5518673"/>
            <a:gd name="connsiteX2" fmla="*/ 0 w 5454127"/>
            <a:gd name="connsiteY2" fmla="*/ 3173506 h 5518673"/>
            <a:gd name="connsiteX3" fmla="*/ 0 w 5454127"/>
            <a:gd name="connsiteY3" fmla="*/ 5518673 h 5518673"/>
            <a:gd name="connsiteX4" fmla="*/ 5454127 w 5454127"/>
            <a:gd name="connsiteY4" fmla="*/ 5518673 h 5518673"/>
            <a:gd name="connsiteX5" fmla="*/ 5454127 w 5454127"/>
            <a:gd name="connsiteY5" fmla="*/ 0 h 5518673"/>
            <a:gd name="connsiteX6" fmla="*/ 1863859 w 5454127"/>
            <a:gd name="connsiteY6" fmla="*/ 3810 h 5518673"/>
            <a:gd name="connsiteX0" fmla="*/ 1863859 w 5454127"/>
            <a:gd name="connsiteY0" fmla="*/ 0 h 5522483"/>
            <a:gd name="connsiteX1" fmla="*/ 1861073 w 5454127"/>
            <a:gd name="connsiteY1" fmla="*/ 3177316 h 5522483"/>
            <a:gd name="connsiteX2" fmla="*/ 0 w 5454127"/>
            <a:gd name="connsiteY2" fmla="*/ 3177316 h 5522483"/>
            <a:gd name="connsiteX3" fmla="*/ 0 w 5454127"/>
            <a:gd name="connsiteY3" fmla="*/ 5522483 h 5522483"/>
            <a:gd name="connsiteX4" fmla="*/ 5454127 w 5454127"/>
            <a:gd name="connsiteY4" fmla="*/ 5522483 h 5522483"/>
            <a:gd name="connsiteX5" fmla="*/ 5454127 w 5454127"/>
            <a:gd name="connsiteY5" fmla="*/ 3810 h 5522483"/>
            <a:gd name="connsiteX6" fmla="*/ 1863859 w 5454127"/>
            <a:gd name="connsiteY6" fmla="*/ 0 h 5522483"/>
            <a:gd name="connsiteX0" fmla="*/ 1863859 w 5454127"/>
            <a:gd name="connsiteY0" fmla="*/ 0 h 5522483"/>
            <a:gd name="connsiteX1" fmla="*/ 1877426 w 5454127"/>
            <a:gd name="connsiteY1" fmla="*/ 2379593 h 5522483"/>
            <a:gd name="connsiteX2" fmla="*/ 0 w 5454127"/>
            <a:gd name="connsiteY2" fmla="*/ 3177316 h 5522483"/>
            <a:gd name="connsiteX3" fmla="*/ 0 w 5454127"/>
            <a:gd name="connsiteY3" fmla="*/ 5522483 h 5522483"/>
            <a:gd name="connsiteX4" fmla="*/ 5454127 w 5454127"/>
            <a:gd name="connsiteY4" fmla="*/ 5522483 h 5522483"/>
            <a:gd name="connsiteX5" fmla="*/ 5454127 w 5454127"/>
            <a:gd name="connsiteY5" fmla="*/ 3810 h 5522483"/>
            <a:gd name="connsiteX6" fmla="*/ 1863859 w 5454127"/>
            <a:gd name="connsiteY6" fmla="*/ 0 h 5522483"/>
            <a:gd name="connsiteX0" fmla="*/ 1863859 w 5454127"/>
            <a:gd name="connsiteY0" fmla="*/ 0 h 5522483"/>
            <a:gd name="connsiteX1" fmla="*/ 1877426 w 5454127"/>
            <a:gd name="connsiteY1" fmla="*/ 2379593 h 5522483"/>
            <a:gd name="connsiteX2" fmla="*/ 0 w 5454127"/>
            <a:gd name="connsiteY2" fmla="*/ 2362799 h 5522483"/>
            <a:gd name="connsiteX3" fmla="*/ 0 w 5454127"/>
            <a:gd name="connsiteY3" fmla="*/ 5522483 h 5522483"/>
            <a:gd name="connsiteX4" fmla="*/ 5454127 w 5454127"/>
            <a:gd name="connsiteY4" fmla="*/ 5522483 h 5522483"/>
            <a:gd name="connsiteX5" fmla="*/ 5454127 w 5454127"/>
            <a:gd name="connsiteY5" fmla="*/ 3810 h 5522483"/>
            <a:gd name="connsiteX6" fmla="*/ 1863859 w 5454127"/>
            <a:gd name="connsiteY6" fmla="*/ 0 h 5522483"/>
            <a:gd name="connsiteX0" fmla="*/ 2196396 w 5454127"/>
            <a:gd name="connsiteY0" fmla="*/ 0 h 5539277"/>
            <a:gd name="connsiteX1" fmla="*/ 1877426 w 5454127"/>
            <a:gd name="connsiteY1" fmla="*/ 2396387 h 5539277"/>
            <a:gd name="connsiteX2" fmla="*/ 0 w 5454127"/>
            <a:gd name="connsiteY2" fmla="*/ 2379593 h 5539277"/>
            <a:gd name="connsiteX3" fmla="*/ 0 w 5454127"/>
            <a:gd name="connsiteY3" fmla="*/ 5539277 h 5539277"/>
            <a:gd name="connsiteX4" fmla="*/ 5454127 w 5454127"/>
            <a:gd name="connsiteY4" fmla="*/ 5539277 h 5539277"/>
            <a:gd name="connsiteX5" fmla="*/ 5454127 w 5454127"/>
            <a:gd name="connsiteY5" fmla="*/ 20604 h 5539277"/>
            <a:gd name="connsiteX6" fmla="*/ 2196396 w 5454127"/>
            <a:gd name="connsiteY6" fmla="*/ 0 h 5539277"/>
            <a:gd name="connsiteX0" fmla="*/ 2196396 w 5454127"/>
            <a:gd name="connsiteY0" fmla="*/ 0 h 5539277"/>
            <a:gd name="connsiteX1" fmla="*/ 2202572 w 5454127"/>
            <a:gd name="connsiteY1" fmla="*/ 2421579 h 5539277"/>
            <a:gd name="connsiteX2" fmla="*/ 0 w 5454127"/>
            <a:gd name="connsiteY2" fmla="*/ 2379593 h 5539277"/>
            <a:gd name="connsiteX3" fmla="*/ 0 w 5454127"/>
            <a:gd name="connsiteY3" fmla="*/ 5539277 h 5539277"/>
            <a:gd name="connsiteX4" fmla="*/ 5454127 w 5454127"/>
            <a:gd name="connsiteY4" fmla="*/ 5539277 h 5539277"/>
            <a:gd name="connsiteX5" fmla="*/ 5454127 w 5454127"/>
            <a:gd name="connsiteY5" fmla="*/ 20604 h 5539277"/>
            <a:gd name="connsiteX6" fmla="*/ 2196396 w 5454127"/>
            <a:gd name="connsiteY6" fmla="*/ 0 h 5539277"/>
            <a:gd name="connsiteX0" fmla="*/ 2196396 w 5454127"/>
            <a:gd name="connsiteY0" fmla="*/ 0 h 5539277"/>
            <a:gd name="connsiteX1" fmla="*/ 2202572 w 5454127"/>
            <a:gd name="connsiteY1" fmla="*/ 2152872 h 5539277"/>
            <a:gd name="connsiteX2" fmla="*/ 0 w 5454127"/>
            <a:gd name="connsiteY2" fmla="*/ 2379593 h 5539277"/>
            <a:gd name="connsiteX3" fmla="*/ 0 w 5454127"/>
            <a:gd name="connsiteY3" fmla="*/ 5539277 h 5539277"/>
            <a:gd name="connsiteX4" fmla="*/ 5454127 w 5454127"/>
            <a:gd name="connsiteY4" fmla="*/ 5539277 h 5539277"/>
            <a:gd name="connsiteX5" fmla="*/ 5454127 w 5454127"/>
            <a:gd name="connsiteY5" fmla="*/ 20604 h 5539277"/>
            <a:gd name="connsiteX6" fmla="*/ 2196396 w 5454127"/>
            <a:gd name="connsiteY6" fmla="*/ 0 h 5539277"/>
            <a:gd name="connsiteX0" fmla="*/ 2203785 w 5461516"/>
            <a:gd name="connsiteY0" fmla="*/ 0 h 5539277"/>
            <a:gd name="connsiteX1" fmla="*/ 2209961 w 5461516"/>
            <a:gd name="connsiteY1" fmla="*/ 2152872 h 5539277"/>
            <a:gd name="connsiteX2" fmla="*/ 0 w 5461516"/>
            <a:gd name="connsiteY2" fmla="*/ 2152873 h 5539277"/>
            <a:gd name="connsiteX3" fmla="*/ 7389 w 5461516"/>
            <a:gd name="connsiteY3" fmla="*/ 5539277 h 5539277"/>
            <a:gd name="connsiteX4" fmla="*/ 5461516 w 5461516"/>
            <a:gd name="connsiteY4" fmla="*/ 5539277 h 5539277"/>
            <a:gd name="connsiteX5" fmla="*/ 5461516 w 5461516"/>
            <a:gd name="connsiteY5" fmla="*/ 20604 h 5539277"/>
            <a:gd name="connsiteX6" fmla="*/ 2203785 w 5461516"/>
            <a:gd name="connsiteY6" fmla="*/ 0 h 5539277"/>
            <a:gd name="connsiteX0" fmla="*/ 2203785 w 5461516"/>
            <a:gd name="connsiteY0" fmla="*/ 0 h 5539277"/>
            <a:gd name="connsiteX1" fmla="*/ 2209961 w 5461516"/>
            <a:gd name="connsiteY1" fmla="*/ 3524876 h 5539277"/>
            <a:gd name="connsiteX2" fmla="*/ 0 w 5461516"/>
            <a:gd name="connsiteY2" fmla="*/ 2152873 h 5539277"/>
            <a:gd name="connsiteX3" fmla="*/ 7389 w 5461516"/>
            <a:gd name="connsiteY3" fmla="*/ 5539277 h 5539277"/>
            <a:gd name="connsiteX4" fmla="*/ 5461516 w 5461516"/>
            <a:gd name="connsiteY4" fmla="*/ 5539277 h 5539277"/>
            <a:gd name="connsiteX5" fmla="*/ 5461516 w 5461516"/>
            <a:gd name="connsiteY5" fmla="*/ 20604 h 5539277"/>
            <a:gd name="connsiteX6" fmla="*/ 2203785 w 5461516"/>
            <a:gd name="connsiteY6" fmla="*/ 0 h 5539277"/>
            <a:gd name="connsiteX0" fmla="*/ 2203785 w 5461516"/>
            <a:gd name="connsiteY0" fmla="*/ 0 h 5539277"/>
            <a:gd name="connsiteX1" fmla="*/ 2209961 w 5461516"/>
            <a:gd name="connsiteY1" fmla="*/ 3524876 h 5539277"/>
            <a:gd name="connsiteX2" fmla="*/ 0 w 5461516"/>
            <a:gd name="connsiteY2" fmla="*/ 3524877 h 5539277"/>
            <a:gd name="connsiteX3" fmla="*/ 7389 w 5461516"/>
            <a:gd name="connsiteY3" fmla="*/ 5539277 h 5539277"/>
            <a:gd name="connsiteX4" fmla="*/ 5461516 w 5461516"/>
            <a:gd name="connsiteY4" fmla="*/ 5539277 h 5539277"/>
            <a:gd name="connsiteX5" fmla="*/ 5461516 w 5461516"/>
            <a:gd name="connsiteY5" fmla="*/ 20604 h 5539277"/>
            <a:gd name="connsiteX6" fmla="*/ 2203785 w 5461516"/>
            <a:gd name="connsiteY6" fmla="*/ 0 h 5539277"/>
            <a:gd name="connsiteX0" fmla="*/ 2196396 w 5454127"/>
            <a:gd name="connsiteY0" fmla="*/ 0 h 5539277"/>
            <a:gd name="connsiteX1" fmla="*/ 2202572 w 5454127"/>
            <a:gd name="connsiteY1" fmla="*/ 3524876 h 5539277"/>
            <a:gd name="connsiteX2" fmla="*/ 195 w 5454127"/>
            <a:gd name="connsiteY2" fmla="*/ 3524877 h 5539277"/>
            <a:gd name="connsiteX3" fmla="*/ 0 w 5454127"/>
            <a:gd name="connsiteY3" fmla="*/ 5539277 h 5539277"/>
            <a:gd name="connsiteX4" fmla="*/ 5454127 w 5454127"/>
            <a:gd name="connsiteY4" fmla="*/ 5539277 h 5539277"/>
            <a:gd name="connsiteX5" fmla="*/ 5454127 w 5454127"/>
            <a:gd name="connsiteY5" fmla="*/ 20604 h 5539277"/>
            <a:gd name="connsiteX6" fmla="*/ 2196396 w 5454127"/>
            <a:gd name="connsiteY6" fmla="*/ 0 h 5539277"/>
            <a:gd name="connsiteX0" fmla="*/ 2196396 w 5454127"/>
            <a:gd name="connsiteY0" fmla="*/ 0 h 5539277"/>
            <a:gd name="connsiteX1" fmla="*/ 2202572 w 5454127"/>
            <a:gd name="connsiteY1" fmla="*/ 3524876 h 5539277"/>
            <a:gd name="connsiteX2" fmla="*/ 195 w 5454127"/>
            <a:gd name="connsiteY2" fmla="*/ 3516511 h 5539277"/>
            <a:gd name="connsiteX3" fmla="*/ 0 w 5454127"/>
            <a:gd name="connsiteY3" fmla="*/ 5539277 h 5539277"/>
            <a:gd name="connsiteX4" fmla="*/ 5454127 w 5454127"/>
            <a:gd name="connsiteY4" fmla="*/ 5539277 h 5539277"/>
            <a:gd name="connsiteX5" fmla="*/ 5454127 w 5454127"/>
            <a:gd name="connsiteY5" fmla="*/ 20604 h 5539277"/>
            <a:gd name="connsiteX6" fmla="*/ 2196396 w 5454127"/>
            <a:gd name="connsiteY6" fmla="*/ 0 h 5539277"/>
            <a:gd name="connsiteX0" fmla="*/ 2196396 w 5454127"/>
            <a:gd name="connsiteY0" fmla="*/ 0 h 5539277"/>
            <a:gd name="connsiteX1" fmla="*/ 2202572 w 5454127"/>
            <a:gd name="connsiteY1" fmla="*/ 3524876 h 5539277"/>
            <a:gd name="connsiteX2" fmla="*/ 12396 w 5454127"/>
            <a:gd name="connsiteY2" fmla="*/ 1517769 h 5539277"/>
            <a:gd name="connsiteX3" fmla="*/ 0 w 5454127"/>
            <a:gd name="connsiteY3" fmla="*/ 5539277 h 5539277"/>
            <a:gd name="connsiteX4" fmla="*/ 5454127 w 5454127"/>
            <a:gd name="connsiteY4" fmla="*/ 5539277 h 5539277"/>
            <a:gd name="connsiteX5" fmla="*/ 5454127 w 5454127"/>
            <a:gd name="connsiteY5" fmla="*/ 20604 h 5539277"/>
            <a:gd name="connsiteX6" fmla="*/ 2196396 w 5454127"/>
            <a:gd name="connsiteY6" fmla="*/ 0 h 5539277"/>
            <a:gd name="connsiteX0" fmla="*/ 2196396 w 5454127"/>
            <a:gd name="connsiteY0" fmla="*/ 0 h 5539277"/>
            <a:gd name="connsiteX1" fmla="*/ 2141564 w 5454127"/>
            <a:gd name="connsiteY1" fmla="*/ 1502619 h 5539277"/>
            <a:gd name="connsiteX2" fmla="*/ 12396 w 5454127"/>
            <a:gd name="connsiteY2" fmla="*/ 1517769 h 5539277"/>
            <a:gd name="connsiteX3" fmla="*/ 0 w 5454127"/>
            <a:gd name="connsiteY3" fmla="*/ 5539277 h 5539277"/>
            <a:gd name="connsiteX4" fmla="*/ 5454127 w 5454127"/>
            <a:gd name="connsiteY4" fmla="*/ 5539277 h 5539277"/>
            <a:gd name="connsiteX5" fmla="*/ 5454127 w 5454127"/>
            <a:gd name="connsiteY5" fmla="*/ 20604 h 5539277"/>
            <a:gd name="connsiteX6" fmla="*/ 2196396 w 5454127"/>
            <a:gd name="connsiteY6" fmla="*/ 0 h 5539277"/>
            <a:gd name="connsiteX0" fmla="*/ 1830348 w 5454127"/>
            <a:gd name="connsiteY0" fmla="*/ 14668 h 5518673"/>
            <a:gd name="connsiteX1" fmla="*/ 2141564 w 5454127"/>
            <a:gd name="connsiteY1" fmla="*/ 1482015 h 5518673"/>
            <a:gd name="connsiteX2" fmla="*/ 12396 w 5454127"/>
            <a:gd name="connsiteY2" fmla="*/ 1497165 h 5518673"/>
            <a:gd name="connsiteX3" fmla="*/ 0 w 5454127"/>
            <a:gd name="connsiteY3" fmla="*/ 5518673 h 5518673"/>
            <a:gd name="connsiteX4" fmla="*/ 5454127 w 5454127"/>
            <a:gd name="connsiteY4" fmla="*/ 5518673 h 5518673"/>
            <a:gd name="connsiteX5" fmla="*/ 5454127 w 5454127"/>
            <a:gd name="connsiteY5" fmla="*/ 0 h 5518673"/>
            <a:gd name="connsiteX6" fmla="*/ 1830348 w 5454127"/>
            <a:gd name="connsiteY6" fmla="*/ 14668 h 5518673"/>
            <a:gd name="connsiteX0" fmla="*/ 1818146 w 5454127"/>
            <a:gd name="connsiteY0" fmla="*/ 14668 h 5518673"/>
            <a:gd name="connsiteX1" fmla="*/ 2141564 w 5454127"/>
            <a:gd name="connsiteY1" fmla="*/ 1482015 h 5518673"/>
            <a:gd name="connsiteX2" fmla="*/ 12396 w 5454127"/>
            <a:gd name="connsiteY2" fmla="*/ 1497165 h 5518673"/>
            <a:gd name="connsiteX3" fmla="*/ 0 w 5454127"/>
            <a:gd name="connsiteY3" fmla="*/ 5518673 h 5518673"/>
            <a:gd name="connsiteX4" fmla="*/ 5454127 w 5454127"/>
            <a:gd name="connsiteY4" fmla="*/ 5518673 h 5518673"/>
            <a:gd name="connsiteX5" fmla="*/ 5454127 w 5454127"/>
            <a:gd name="connsiteY5" fmla="*/ 0 h 5518673"/>
            <a:gd name="connsiteX6" fmla="*/ 1818146 w 5454127"/>
            <a:gd name="connsiteY6" fmla="*/ 14668 h 5518673"/>
            <a:gd name="connsiteX0" fmla="*/ 1818146 w 5454127"/>
            <a:gd name="connsiteY0" fmla="*/ 14668 h 5518673"/>
            <a:gd name="connsiteX1" fmla="*/ 1812120 w 5454127"/>
            <a:gd name="connsiteY1" fmla="*/ 1482015 h 5518673"/>
            <a:gd name="connsiteX2" fmla="*/ 12396 w 5454127"/>
            <a:gd name="connsiteY2" fmla="*/ 1497165 h 5518673"/>
            <a:gd name="connsiteX3" fmla="*/ 0 w 5454127"/>
            <a:gd name="connsiteY3" fmla="*/ 5518673 h 5518673"/>
            <a:gd name="connsiteX4" fmla="*/ 5454127 w 5454127"/>
            <a:gd name="connsiteY4" fmla="*/ 5518673 h 5518673"/>
            <a:gd name="connsiteX5" fmla="*/ 5454127 w 5454127"/>
            <a:gd name="connsiteY5" fmla="*/ 0 h 5518673"/>
            <a:gd name="connsiteX6" fmla="*/ 1818146 w 5454127"/>
            <a:gd name="connsiteY6" fmla="*/ 14668 h 5518673"/>
            <a:gd name="connsiteX0" fmla="*/ 1818146 w 5454127"/>
            <a:gd name="connsiteY0" fmla="*/ 14668 h 5518673"/>
            <a:gd name="connsiteX1" fmla="*/ 1812120 w 5454127"/>
            <a:gd name="connsiteY1" fmla="*/ 1750080 h 5518673"/>
            <a:gd name="connsiteX2" fmla="*/ 12396 w 5454127"/>
            <a:gd name="connsiteY2" fmla="*/ 1497165 h 5518673"/>
            <a:gd name="connsiteX3" fmla="*/ 0 w 5454127"/>
            <a:gd name="connsiteY3" fmla="*/ 5518673 h 5518673"/>
            <a:gd name="connsiteX4" fmla="*/ 5454127 w 5454127"/>
            <a:gd name="connsiteY4" fmla="*/ 5518673 h 5518673"/>
            <a:gd name="connsiteX5" fmla="*/ 5454127 w 5454127"/>
            <a:gd name="connsiteY5" fmla="*/ 0 h 5518673"/>
            <a:gd name="connsiteX6" fmla="*/ 1818146 w 5454127"/>
            <a:gd name="connsiteY6" fmla="*/ 14668 h 5518673"/>
            <a:gd name="connsiteX0" fmla="*/ 1830153 w 5466134"/>
            <a:gd name="connsiteY0" fmla="*/ 14668 h 5518673"/>
            <a:gd name="connsiteX1" fmla="*/ 1824127 w 5466134"/>
            <a:gd name="connsiteY1" fmla="*/ 1750080 h 5518673"/>
            <a:gd name="connsiteX2" fmla="*/ 0 w 5466134"/>
            <a:gd name="connsiteY2" fmla="*/ 1751121 h 5518673"/>
            <a:gd name="connsiteX3" fmla="*/ 12007 w 5466134"/>
            <a:gd name="connsiteY3" fmla="*/ 5518673 h 5518673"/>
            <a:gd name="connsiteX4" fmla="*/ 5466134 w 5466134"/>
            <a:gd name="connsiteY4" fmla="*/ 5518673 h 5518673"/>
            <a:gd name="connsiteX5" fmla="*/ 5466134 w 5466134"/>
            <a:gd name="connsiteY5" fmla="*/ 0 h 5518673"/>
            <a:gd name="connsiteX6" fmla="*/ 1830153 w 5466134"/>
            <a:gd name="connsiteY6" fmla="*/ 14668 h 551867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466134" h="5518673">
              <a:moveTo>
                <a:pt x="1830153" y="14668"/>
              </a:moveTo>
              <a:cubicBezTo>
                <a:pt x="1829224" y="1071233"/>
                <a:pt x="1825056" y="693515"/>
                <a:pt x="1824127" y="1750080"/>
              </a:cubicBezTo>
              <a:lnTo>
                <a:pt x="0" y="1751121"/>
              </a:lnTo>
              <a:cubicBezTo>
                <a:pt x="4002" y="3006972"/>
                <a:pt x="8005" y="4262822"/>
                <a:pt x="12007" y="5518673"/>
              </a:cubicBezTo>
              <a:lnTo>
                <a:pt x="5466134" y="5518673"/>
              </a:lnTo>
              <a:lnTo>
                <a:pt x="5466134" y="0"/>
              </a:lnTo>
              <a:lnTo>
                <a:pt x="1830153" y="14668"/>
              </a:lnTo>
              <a:close/>
            </a:path>
          </a:pathLst>
        </a:custGeom>
        <a:noFill/>
        <a:ln w="19050">
          <a:solidFill>
            <a:schemeClr val="tx2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13</xdr:col>
      <xdr:colOff>428626</xdr:colOff>
      <xdr:row>14</xdr:row>
      <xdr:rowOff>38915</xdr:rowOff>
    </xdr:from>
    <xdr:to>
      <xdr:col>16</xdr:col>
      <xdr:colOff>463132</xdr:colOff>
      <xdr:row>15</xdr:row>
      <xdr:rowOff>83959</xdr:rowOff>
    </xdr:to>
    <xdr:sp macro="" textlink="">
      <xdr:nvSpPr>
        <xdr:cNvPr id="122" name="テキスト ボックス 67">
          <a:extLst>
            <a:ext uri="{FF2B5EF4-FFF2-40B4-BE49-F238E27FC236}">
              <a16:creationId xmlns:a16="http://schemas.microsoft.com/office/drawing/2014/main" id="{633C35A4-2F25-43D6-8B67-C9FE82A5A8F0}"/>
            </a:ext>
          </a:extLst>
        </xdr:cNvPr>
        <xdr:cNvSpPr txBox="1"/>
      </xdr:nvSpPr>
      <xdr:spPr>
        <a:xfrm>
          <a:off x="8353426" y="2763065"/>
          <a:ext cx="1863306" cy="254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36000" rIns="36000" bIns="36000" rtlCol="0" anchor="t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kumimoji="1" lang="ja-JP" altLang="en-US" sz="1000" b="1">
              <a:solidFill>
                <a:schemeClr val="tx2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臨中ネット標準データベース</a:t>
          </a:r>
        </a:p>
      </xdr:txBody>
    </xdr:sp>
    <xdr:clientData/>
  </xdr:twoCellAnchor>
  <xdr:twoCellAnchor>
    <xdr:from>
      <xdr:col>7</xdr:col>
      <xdr:colOff>394308</xdr:colOff>
      <xdr:row>20</xdr:row>
      <xdr:rowOff>172726</xdr:rowOff>
    </xdr:from>
    <xdr:to>
      <xdr:col>9</xdr:col>
      <xdr:colOff>396615</xdr:colOff>
      <xdr:row>24</xdr:row>
      <xdr:rowOff>180517</xdr:rowOff>
    </xdr:to>
    <xdr:sp macro="" textlink="">
      <xdr:nvSpPr>
        <xdr:cNvPr id="123" name="フローチャート: 磁気ディスク 122">
          <a:extLst>
            <a:ext uri="{FF2B5EF4-FFF2-40B4-BE49-F238E27FC236}">
              <a16:creationId xmlns:a16="http://schemas.microsoft.com/office/drawing/2014/main" id="{087B82CC-1DAA-4BA7-9B2E-6FF605FAF39C}"/>
            </a:ext>
          </a:extLst>
        </xdr:cNvPr>
        <xdr:cNvSpPr/>
      </xdr:nvSpPr>
      <xdr:spPr>
        <a:xfrm>
          <a:off x="4661508" y="4154176"/>
          <a:ext cx="1221507" cy="845991"/>
        </a:xfrm>
        <a:prstGeom prst="flowChartMagneticDisk">
          <a:avLst/>
        </a:prstGeom>
        <a:ln w="127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>
            <a:lnSpc>
              <a:spcPts val="1200"/>
            </a:lnSpc>
          </a:pPr>
          <a:r>
            <a:rPr kumimoji="1" lang="en-US" altLang="ja-JP" sz="1000">
              <a:latin typeface="游ゴシック" panose="020B0400000000000000" pitchFamily="50" charset="-128"/>
              <a:ea typeface="游ゴシック" panose="020B0400000000000000" pitchFamily="50" charset="-128"/>
            </a:rPr>
            <a:t>SS-MIX2</a:t>
          </a:r>
        </a:p>
        <a:p>
          <a:pPr algn="ctr">
            <a:lnSpc>
              <a:spcPts val="1200"/>
            </a:lnSpc>
          </a:pPr>
          <a:r>
            <a: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ストレージ</a:t>
          </a:r>
          <a:endParaRPr kumimoji="1"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>
            <a:lnSpc>
              <a:spcPts val="1200"/>
            </a:lnSpc>
          </a:pPr>
          <a:r>
            <a: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ファイル</a:t>
          </a:r>
        </a:p>
      </xdr:txBody>
    </xdr:sp>
    <xdr:clientData/>
  </xdr:twoCellAnchor>
  <xdr:twoCellAnchor>
    <xdr:from>
      <xdr:col>10</xdr:col>
      <xdr:colOff>72303</xdr:colOff>
      <xdr:row>20</xdr:row>
      <xdr:rowOff>77329</xdr:rowOff>
    </xdr:from>
    <xdr:to>
      <xdr:col>12</xdr:col>
      <xdr:colOff>205430</xdr:colOff>
      <xdr:row>23</xdr:row>
      <xdr:rowOff>188394</xdr:rowOff>
    </xdr:to>
    <xdr:grpSp>
      <xdr:nvGrpSpPr>
        <xdr:cNvPr id="124" name="グループ化 123">
          <a:extLst>
            <a:ext uri="{FF2B5EF4-FFF2-40B4-BE49-F238E27FC236}">
              <a16:creationId xmlns:a16="http://schemas.microsoft.com/office/drawing/2014/main" id="{A05B527E-F619-4ADD-A60C-140EFC5FB039}"/>
            </a:ext>
          </a:extLst>
        </xdr:cNvPr>
        <xdr:cNvGrpSpPr/>
      </xdr:nvGrpSpPr>
      <xdr:grpSpPr>
        <a:xfrm>
          <a:off x="6144491" y="4363579"/>
          <a:ext cx="1347564" cy="754003"/>
          <a:chOff x="9036441" y="819560"/>
          <a:chExt cx="1594822" cy="892350"/>
        </a:xfrm>
      </xdr:grpSpPr>
      <xdr:sp macro="" textlink="">
        <xdr:nvSpPr>
          <xdr:cNvPr id="125" name="フローチャート: 処理 124">
            <a:extLst>
              <a:ext uri="{FF2B5EF4-FFF2-40B4-BE49-F238E27FC236}">
                <a16:creationId xmlns:a16="http://schemas.microsoft.com/office/drawing/2014/main" id="{6617AA54-4FAC-442E-9484-1BE39A1F1C8D}"/>
              </a:ext>
            </a:extLst>
          </xdr:cNvPr>
          <xdr:cNvSpPr/>
        </xdr:nvSpPr>
        <xdr:spPr>
          <a:xfrm>
            <a:off x="9122421" y="983788"/>
            <a:ext cx="180000" cy="180000"/>
          </a:xfrm>
          <a:prstGeom prst="flowChartProcess">
            <a:avLst/>
          </a:prstGeom>
          <a:solidFill>
            <a:schemeClr val="accent5"/>
          </a:solidFill>
          <a:ln w="1270">
            <a:solidFill>
              <a:schemeClr val="tx1"/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  <xdr:sp macro="" textlink="">
        <xdr:nvSpPr>
          <xdr:cNvPr id="126" name="フローチャート: 処理 125">
            <a:extLst>
              <a:ext uri="{FF2B5EF4-FFF2-40B4-BE49-F238E27FC236}">
                <a16:creationId xmlns:a16="http://schemas.microsoft.com/office/drawing/2014/main" id="{887723B0-7802-4C02-AD3D-DBA04AE2FA20}"/>
              </a:ext>
            </a:extLst>
          </xdr:cNvPr>
          <xdr:cNvSpPr/>
        </xdr:nvSpPr>
        <xdr:spPr>
          <a:xfrm>
            <a:off x="9317263" y="1171910"/>
            <a:ext cx="1314000" cy="540000"/>
          </a:xfrm>
          <a:prstGeom prst="flowChartProcess">
            <a:avLst/>
          </a:prstGeom>
          <a:solidFill>
            <a:schemeClr val="accent5"/>
          </a:solidFill>
          <a:ln w="1270">
            <a:solidFill>
              <a:schemeClr val="tx1"/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200"/>
              </a:lnSpc>
            </a:pPr>
            <a:r>
              <a:rPr kumimoji="1" lang="en-US" altLang="ja-JP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SS-MIX2</a:t>
            </a:r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データ</a:t>
            </a:r>
            <a:endParaRPr kumimoji="1" lang="en-US" altLang="ja-JP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  <a:p>
            <a:pPr algn="ctr">
              <a:lnSpc>
                <a:spcPts val="1200"/>
              </a:lnSpc>
            </a:pPr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取込プログラム</a:t>
            </a:r>
          </a:p>
        </xdr:txBody>
      </xdr:sp>
      <xdr:sp macro="" textlink="">
        <xdr:nvSpPr>
          <xdr:cNvPr id="127" name="テキスト ボックス 62">
            <a:extLst>
              <a:ext uri="{FF2B5EF4-FFF2-40B4-BE49-F238E27FC236}">
                <a16:creationId xmlns:a16="http://schemas.microsoft.com/office/drawing/2014/main" id="{F2D14A39-690D-4A79-8E03-1925E813BBCD}"/>
              </a:ext>
            </a:extLst>
          </xdr:cNvPr>
          <xdr:cNvSpPr txBox="1"/>
        </xdr:nvSpPr>
        <xdr:spPr>
          <a:xfrm>
            <a:off x="9316965" y="919185"/>
            <a:ext cx="748922" cy="3399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t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ja-JP" altLang="en-US" sz="1000">
                <a:latin typeface="游ゴシック" panose="020B0400000000000000" pitchFamily="50" charset="-128"/>
                <a:ea typeface="游ゴシック" panose="020B0400000000000000" pitchFamily="50" charset="-128"/>
              </a:rPr>
              <a:t>日時処理</a:t>
            </a:r>
          </a:p>
        </xdr:txBody>
      </xdr:sp>
      <xdr:sp macro="" textlink="">
        <xdr:nvSpPr>
          <xdr:cNvPr id="128" name="円弧 127">
            <a:extLst>
              <a:ext uri="{FF2B5EF4-FFF2-40B4-BE49-F238E27FC236}">
                <a16:creationId xmlns:a16="http://schemas.microsoft.com/office/drawing/2014/main" id="{71D2EFA7-EFD2-4796-B807-6F0AA7E90FE2}"/>
              </a:ext>
            </a:extLst>
          </xdr:cNvPr>
          <xdr:cNvSpPr/>
        </xdr:nvSpPr>
        <xdr:spPr>
          <a:xfrm>
            <a:off x="9036441" y="819560"/>
            <a:ext cx="180000" cy="180000"/>
          </a:xfrm>
          <a:prstGeom prst="arc">
            <a:avLst>
              <a:gd name="adj1" fmla="val 5905618"/>
              <a:gd name="adj2" fmla="val 2988727"/>
            </a:avLst>
          </a:prstGeom>
          <a:ln w="38100">
            <a:solidFill>
              <a:schemeClr val="accent5"/>
            </a:solidFill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lIns="36000" tIns="36000" rIns="36000" bIns="36000" rtlCol="0" anchor="t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endParaRPr>
          </a:p>
        </xdr:txBody>
      </xdr:sp>
    </xdr:grpSp>
    <xdr:clientData/>
  </xdr:twoCellAnchor>
  <xdr:twoCellAnchor>
    <xdr:from>
      <xdr:col>7</xdr:col>
      <xdr:colOff>88974</xdr:colOff>
      <xdr:row>17</xdr:row>
      <xdr:rowOff>20682</xdr:rowOff>
    </xdr:from>
    <xdr:to>
      <xdr:col>7</xdr:col>
      <xdr:colOff>394308</xdr:colOff>
      <xdr:row>22</xdr:row>
      <xdr:rowOff>176622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231153DB-BA1E-4FB8-80C9-41397926C687}"/>
            </a:ext>
          </a:extLst>
        </xdr:cNvPr>
        <xdr:cNvCxnSpPr>
          <a:cxnSpLocks/>
          <a:stCxn id="78" idx="4"/>
          <a:endCxn id="123" idx="2"/>
        </xdr:cNvCxnSpPr>
      </xdr:nvCxnSpPr>
      <xdr:spPr>
        <a:xfrm>
          <a:off x="4356174" y="3373482"/>
          <a:ext cx="305334" cy="120369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396615</xdr:colOff>
      <xdr:row>22</xdr:row>
      <xdr:rowOff>174566</xdr:rowOff>
    </xdr:from>
    <xdr:to>
      <xdr:col>10</xdr:col>
      <xdr:colOff>309587</xdr:colOff>
      <xdr:row>22</xdr:row>
      <xdr:rowOff>176622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8573CE60-102D-44C8-817D-CB5261C2CA06}"/>
            </a:ext>
          </a:extLst>
        </xdr:cNvPr>
        <xdr:cNvCxnSpPr>
          <a:cxnSpLocks/>
          <a:stCxn id="123" idx="4"/>
          <a:endCxn id="126" idx="1"/>
        </xdr:cNvCxnSpPr>
      </xdr:nvCxnSpPr>
      <xdr:spPr>
        <a:xfrm flipV="1">
          <a:off x="5883015" y="4575116"/>
          <a:ext cx="522572" cy="205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205430</xdr:colOff>
      <xdr:row>22</xdr:row>
      <xdr:rowOff>174566</xdr:rowOff>
    </xdr:from>
    <xdr:to>
      <xdr:col>12</xdr:col>
      <xdr:colOff>442357</xdr:colOff>
      <xdr:row>22</xdr:row>
      <xdr:rowOff>176272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730474EE-5830-43EC-97C1-B8E24F8F5D62}"/>
            </a:ext>
          </a:extLst>
        </xdr:cNvPr>
        <xdr:cNvCxnSpPr>
          <a:cxnSpLocks/>
          <a:stCxn id="126" idx="3"/>
          <a:endCxn id="132" idx="2"/>
        </xdr:cNvCxnSpPr>
      </xdr:nvCxnSpPr>
      <xdr:spPr>
        <a:xfrm>
          <a:off x="7520630" y="4575116"/>
          <a:ext cx="236927" cy="1706"/>
        </a:xfrm>
        <a:prstGeom prst="straightConnector1">
          <a:avLst/>
        </a:prstGeom>
        <a:ln w="38100">
          <a:solidFill>
            <a:schemeClr val="bg2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442357</xdr:colOff>
      <xdr:row>21</xdr:row>
      <xdr:rowOff>132026</xdr:rowOff>
    </xdr:from>
    <xdr:to>
      <xdr:col>14</xdr:col>
      <xdr:colOff>292571</xdr:colOff>
      <xdr:row>24</xdr:row>
      <xdr:rowOff>6205</xdr:rowOff>
    </xdr:to>
    <xdr:sp macro="" textlink="">
      <xdr:nvSpPr>
        <xdr:cNvPr id="132" name="フローチャート: 磁気ディスク 131">
          <a:extLst>
            <a:ext uri="{FF2B5EF4-FFF2-40B4-BE49-F238E27FC236}">
              <a16:creationId xmlns:a16="http://schemas.microsoft.com/office/drawing/2014/main" id="{B6936A5F-6370-432B-BA1B-05659B4216C7}"/>
            </a:ext>
          </a:extLst>
        </xdr:cNvPr>
        <xdr:cNvSpPr/>
      </xdr:nvSpPr>
      <xdr:spPr>
        <a:xfrm>
          <a:off x="7757557" y="4323026"/>
          <a:ext cx="1069414" cy="502829"/>
        </a:xfrm>
        <a:prstGeom prst="flowChartMagneticDisk">
          <a:avLst/>
        </a:prstGeom>
        <a:solidFill>
          <a:schemeClr val="accent3"/>
        </a:solidFill>
        <a:ln w="1270">
          <a:solidFill>
            <a:schemeClr val="tx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wrap="square" lIns="36000" tIns="36000" rIns="36000" bIns="36000" rtlCol="0" anchor="b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000">
              <a:latin typeface="游ゴシック" panose="020B0400000000000000" pitchFamily="50" charset="-128"/>
              <a:ea typeface="游ゴシック" panose="020B0400000000000000" pitchFamily="50" charset="-128"/>
            </a:rPr>
            <a:t>中間テーブル</a:t>
          </a:r>
          <a:endParaRPr kumimoji="1" lang="en-US" altLang="ja-JP" sz="10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14</xdr:col>
      <xdr:colOff>292571</xdr:colOff>
      <xdr:row>19</xdr:row>
      <xdr:rowOff>134554</xdr:rowOff>
    </xdr:from>
    <xdr:to>
      <xdr:col>14</xdr:col>
      <xdr:colOff>569274</xdr:colOff>
      <xdr:row>22</xdr:row>
      <xdr:rowOff>176272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B41B5880-C578-43D3-A30A-39C8E1DEDA50}"/>
            </a:ext>
          </a:extLst>
        </xdr:cNvPr>
        <xdr:cNvCxnSpPr>
          <a:cxnSpLocks/>
          <a:stCxn id="132" idx="4"/>
          <a:endCxn id="85" idx="2"/>
        </xdr:cNvCxnSpPr>
      </xdr:nvCxnSpPr>
      <xdr:spPr>
        <a:xfrm flipV="1">
          <a:off x="8826971" y="3906454"/>
          <a:ext cx="276703" cy="670368"/>
        </a:xfrm>
        <a:prstGeom prst="straightConnector1">
          <a:avLst/>
        </a:prstGeom>
        <a:ln w="38100">
          <a:solidFill>
            <a:schemeClr val="bg2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D13:N27"/>
  <sheetViews>
    <sheetView tabSelected="1" zoomScale="80" zoomScaleNormal="80" workbookViewId="0"/>
  </sheetViews>
  <sheetFormatPr defaultColWidth="9.140625" defaultRowHeight="16.5"/>
  <cols>
    <col min="1" max="13" width="9.140625" style="18"/>
    <col min="14" max="14" width="11.42578125" style="18" bestFit="1" customWidth="1"/>
    <col min="15" max="16384" width="9.140625" style="18"/>
  </cols>
  <sheetData>
    <row r="13" spans="9:9" ht="33">
      <c r="I13" s="26" t="s">
        <v>0</v>
      </c>
    </row>
    <row r="14" spans="9:9" ht="33">
      <c r="I14" s="26" t="s">
        <v>1</v>
      </c>
    </row>
    <row r="17" spans="4:14" ht="33">
      <c r="I17" s="26" t="s">
        <v>2</v>
      </c>
    </row>
    <row r="20" spans="4:14" ht="33">
      <c r="D20" s="55"/>
      <c r="E20" s="55"/>
      <c r="F20" s="55"/>
      <c r="G20" s="55"/>
      <c r="H20" s="55"/>
      <c r="I20" s="56" t="s">
        <v>1164</v>
      </c>
      <c r="J20" s="55"/>
      <c r="K20" s="55"/>
      <c r="L20" s="55"/>
      <c r="M20" s="55"/>
      <c r="N20" s="55"/>
    </row>
    <row r="26" spans="4:14">
      <c r="M26" s="18" t="s">
        <v>3</v>
      </c>
      <c r="N26" s="33">
        <v>45504</v>
      </c>
    </row>
    <row r="27" spans="4:14">
      <c r="M27" s="18" t="s">
        <v>4</v>
      </c>
      <c r="N27" s="33">
        <v>45519</v>
      </c>
    </row>
  </sheetData>
  <phoneticPr fontId="4"/>
  <pageMargins left="0.25" right="0.25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FDFC-93D9-4A84-87A4-C80F7A1CC54E}">
  <sheetPr codeName="Sheet12"/>
  <dimension ref="A1:C5"/>
  <sheetViews>
    <sheetView workbookViewId="0"/>
  </sheetViews>
  <sheetFormatPr defaultRowHeight="12"/>
  <cols>
    <col min="1" max="1" width="11.85546875" bestFit="1" customWidth="1"/>
    <col min="3" max="3" width="57" customWidth="1"/>
  </cols>
  <sheetData>
    <row r="1" spans="1:3" ht="16.5">
      <c r="A1" s="18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s="35">
        <v>45200</v>
      </c>
      <c r="B4" t="s">
        <v>9</v>
      </c>
      <c r="C4" t="s">
        <v>10</v>
      </c>
    </row>
    <row r="5" spans="1:3" ht="264">
      <c r="A5" s="35">
        <v>45504</v>
      </c>
      <c r="B5" t="s">
        <v>2</v>
      </c>
      <c r="C5" s="36" t="s">
        <v>11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34"/>
  <sheetViews>
    <sheetView zoomScale="80" zoomScaleNormal="80" workbookViewId="0"/>
  </sheetViews>
  <sheetFormatPr defaultColWidth="9.140625" defaultRowHeight="16.5"/>
  <cols>
    <col min="1" max="1" width="5.5703125" style="18" bestFit="1" customWidth="1"/>
    <col min="2" max="2" width="32" style="18" bestFit="1" customWidth="1"/>
    <col min="3" max="3" width="44" style="18" bestFit="1" customWidth="1"/>
    <col min="4" max="4" width="54.7109375" style="18" bestFit="1" customWidth="1"/>
    <col min="5" max="16384" width="9.140625" style="18"/>
  </cols>
  <sheetData>
    <row r="1" spans="1:4">
      <c r="A1" s="18" t="s">
        <v>12</v>
      </c>
    </row>
    <row r="3" spans="1:4">
      <c r="A3" s="19" t="s">
        <v>13</v>
      </c>
      <c r="B3" s="19" t="s">
        <v>14</v>
      </c>
      <c r="C3" s="19" t="s">
        <v>15</v>
      </c>
      <c r="D3" s="19" t="s">
        <v>16</v>
      </c>
    </row>
    <row r="4" spans="1:4">
      <c r="A4" s="27">
        <v>1</v>
      </c>
      <c r="B4" s="17" t="s">
        <v>17</v>
      </c>
      <c r="C4" s="27" t="s">
        <v>18</v>
      </c>
      <c r="D4" s="27"/>
    </row>
    <row r="5" spans="1:4">
      <c r="A5" s="27">
        <v>2</v>
      </c>
      <c r="B5" s="27" t="s">
        <v>19</v>
      </c>
      <c r="C5" s="27" t="s">
        <v>20</v>
      </c>
      <c r="D5" s="27"/>
    </row>
    <row r="6" spans="1:4">
      <c r="A6" s="27">
        <v>3</v>
      </c>
      <c r="B6" s="27" t="s">
        <v>21</v>
      </c>
      <c r="C6" s="27" t="s">
        <v>22</v>
      </c>
      <c r="D6" s="27"/>
    </row>
    <row r="7" spans="1:4">
      <c r="A7" s="27">
        <v>4</v>
      </c>
      <c r="B7" s="27" t="s">
        <v>23</v>
      </c>
      <c r="C7" s="27" t="s">
        <v>24</v>
      </c>
      <c r="D7" s="27"/>
    </row>
    <row r="8" spans="1:4">
      <c r="A8" s="27">
        <v>5</v>
      </c>
      <c r="B8" s="27" t="s">
        <v>25</v>
      </c>
      <c r="C8" s="27" t="s">
        <v>26</v>
      </c>
      <c r="D8" s="27"/>
    </row>
    <row r="9" spans="1:4">
      <c r="A9" s="27">
        <v>6</v>
      </c>
      <c r="B9" s="27" t="s">
        <v>27</v>
      </c>
      <c r="C9" s="27" t="s">
        <v>28</v>
      </c>
      <c r="D9" s="27"/>
    </row>
    <row r="10" spans="1:4">
      <c r="A10" s="27">
        <v>7</v>
      </c>
      <c r="B10" s="17" t="s">
        <v>29</v>
      </c>
      <c r="C10" s="27" t="s">
        <v>30</v>
      </c>
      <c r="D10" s="27"/>
    </row>
    <row r="11" spans="1:4">
      <c r="A11" s="27">
        <v>8</v>
      </c>
      <c r="B11" s="27" t="s">
        <v>31</v>
      </c>
      <c r="C11" s="27" t="s">
        <v>32</v>
      </c>
      <c r="D11" s="27"/>
    </row>
    <row r="12" spans="1:4">
      <c r="A12" s="27"/>
      <c r="B12" s="27"/>
      <c r="C12" s="27"/>
      <c r="D12" s="27"/>
    </row>
    <row r="15" spans="1:4">
      <c r="A15" s="18" t="s">
        <v>33</v>
      </c>
    </row>
    <row r="17" spans="1:4">
      <c r="A17" s="19" t="s">
        <v>13</v>
      </c>
      <c r="B17" s="19" t="s">
        <v>34</v>
      </c>
      <c r="C17" s="19" t="s">
        <v>35</v>
      </c>
      <c r="D17" s="19" t="s">
        <v>16</v>
      </c>
    </row>
    <row r="18" spans="1:4">
      <c r="A18" s="27">
        <v>1</v>
      </c>
      <c r="B18" s="27" t="s">
        <v>13</v>
      </c>
      <c r="C18" s="32" t="s">
        <v>36</v>
      </c>
      <c r="D18" s="32"/>
    </row>
    <row r="19" spans="1:4">
      <c r="A19" s="27">
        <v>2</v>
      </c>
      <c r="B19" s="27" t="s">
        <v>37</v>
      </c>
      <c r="C19" s="32" t="s">
        <v>38</v>
      </c>
      <c r="D19" s="32" t="s">
        <v>39</v>
      </c>
    </row>
    <row r="20" spans="1:4">
      <c r="A20" s="27">
        <v>3</v>
      </c>
      <c r="B20" s="27" t="s">
        <v>40</v>
      </c>
      <c r="C20" s="32" t="s">
        <v>41</v>
      </c>
      <c r="D20" s="32" t="s">
        <v>42</v>
      </c>
    </row>
    <row r="21" spans="1:4">
      <c r="A21" s="27">
        <v>4</v>
      </c>
      <c r="B21" s="27" t="s">
        <v>43</v>
      </c>
      <c r="C21" s="32" t="s">
        <v>44</v>
      </c>
      <c r="D21" s="32" t="s">
        <v>45</v>
      </c>
    </row>
    <row r="22" spans="1:4">
      <c r="A22" s="27">
        <v>5</v>
      </c>
      <c r="B22" s="27" t="s">
        <v>46</v>
      </c>
      <c r="C22" s="32" t="s">
        <v>47</v>
      </c>
      <c r="D22" s="32"/>
    </row>
    <row r="23" spans="1:4" ht="33">
      <c r="A23" s="27">
        <v>6</v>
      </c>
      <c r="B23" s="27" t="s">
        <v>48</v>
      </c>
      <c r="C23" s="32" t="s">
        <v>49</v>
      </c>
      <c r="D23" s="32"/>
    </row>
    <row r="24" spans="1:4" ht="33">
      <c r="A24" s="27">
        <v>7</v>
      </c>
      <c r="B24" s="27" t="s">
        <v>50</v>
      </c>
      <c r="C24" s="32" t="s">
        <v>51</v>
      </c>
      <c r="D24" s="32"/>
    </row>
    <row r="25" spans="1:4" ht="33">
      <c r="A25" s="27">
        <v>8</v>
      </c>
      <c r="B25" s="27" t="s">
        <v>52</v>
      </c>
      <c r="C25" s="32" t="s">
        <v>53</v>
      </c>
      <c r="D25" s="32"/>
    </row>
    <row r="26" spans="1:4" ht="33">
      <c r="A26" s="27">
        <v>9</v>
      </c>
      <c r="B26" s="27" t="s">
        <v>54</v>
      </c>
      <c r="C26" s="32" t="s">
        <v>55</v>
      </c>
      <c r="D26" s="32" t="s">
        <v>56</v>
      </c>
    </row>
    <row r="27" spans="1:4" ht="33">
      <c r="A27" s="27">
        <v>10</v>
      </c>
      <c r="B27" s="27" t="s">
        <v>57</v>
      </c>
      <c r="C27" s="32" t="s">
        <v>58</v>
      </c>
      <c r="D27" s="32"/>
    </row>
    <row r="28" spans="1:4" ht="33">
      <c r="A28" s="27">
        <v>11</v>
      </c>
      <c r="B28" s="27" t="s">
        <v>59</v>
      </c>
      <c r="C28" s="32" t="s">
        <v>60</v>
      </c>
      <c r="D28" s="32"/>
    </row>
    <row r="29" spans="1:4" ht="33">
      <c r="A29" s="27">
        <v>12</v>
      </c>
      <c r="B29" s="27" t="s">
        <v>61</v>
      </c>
      <c r="C29" s="32" t="s">
        <v>62</v>
      </c>
      <c r="D29" s="32"/>
    </row>
    <row r="30" spans="1:4">
      <c r="A30" s="27">
        <v>13</v>
      </c>
      <c r="B30" s="27" t="s">
        <v>63</v>
      </c>
      <c r="C30" s="32" t="s">
        <v>64</v>
      </c>
      <c r="D30" s="32"/>
    </row>
    <row r="31" spans="1:4">
      <c r="A31" s="27">
        <v>14</v>
      </c>
      <c r="B31" s="27" t="s">
        <v>65</v>
      </c>
      <c r="C31" s="32" t="s">
        <v>66</v>
      </c>
      <c r="D31" s="32"/>
    </row>
    <row r="32" spans="1:4" ht="33">
      <c r="A32" s="27">
        <v>15</v>
      </c>
      <c r="B32" s="27" t="s">
        <v>67</v>
      </c>
      <c r="C32" s="32" t="s">
        <v>68</v>
      </c>
      <c r="D32" s="32"/>
    </row>
    <row r="33" spans="1:4">
      <c r="A33" s="27">
        <v>16</v>
      </c>
      <c r="B33" s="27" t="s">
        <v>69</v>
      </c>
      <c r="C33" s="32" t="s">
        <v>70</v>
      </c>
      <c r="D33" s="32" t="s">
        <v>71</v>
      </c>
    </row>
    <row r="34" spans="1:4">
      <c r="A34" s="27"/>
      <c r="B34" s="27"/>
      <c r="C34" s="32"/>
      <c r="D34" s="32"/>
    </row>
  </sheetData>
  <phoneticPr fontId="4"/>
  <pageMargins left="0.25" right="0.25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0"/>
  <sheetViews>
    <sheetView zoomScale="80" zoomScaleNormal="80" workbookViewId="0"/>
  </sheetViews>
  <sheetFormatPr defaultColWidth="9.140625" defaultRowHeight="16.5"/>
  <cols>
    <col min="1" max="16384" width="9.140625" style="18"/>
  </cols>
  <sheetData>
    <row r="1" spans="1:1">
      <c r="A1" s="18" t="s">
        <v>72</v>
      </c>
    </row>
    <row r="3" spans="1:1">
      <c r="A3" s="18" t="s">
        <v>73</v>
      </c>
    </row>
    <row r="4" spans="1:1">
      <c r="A4" s="18" t="s">
        <v>74</v>
      </c>
    </row>
    <row r="5" spans="1:1">
      <c r="A5" s="18" t="s">
        <v>75</v>
      </c>
    </row>
    <row r="6" spans="1:1">
      <c r="A6" s="18" t="s">
        <v>76</v>
      </c>
    </row>
    <row r="7" spans="1:1">
      <c r="A7" s="18" t="s">
        <v>77</v>
      </c>
    </row>
    <row r="8" spans="1:1">
      <c r="A8" s="18" t="s">
        <v>78</v>
      </c>
    </row>
    <row r="9" spans="1:1">
      <c r="A9" s="18" t="s">
        <v>79</v>
      </c>
    </row>
    <row r="10" spans="1:1">
      <c r="A10" s="18" t="s">
        <v>80</v>
      </c>
    </row>
    <row r="13" spans="1:1">
      <c r="A13" s="18" t="s">
        <v>81</v>
      </c>
    </row>
    <row r="20" spans="6:6">
      <c r="F20" s="21"/>
    </row>
  </sheetData>
  <phoneticPr fontId="4"/>
  <pageMargins left="0.25" right="0.25" top="0.75" bottom="0.75" header="0.3" footer="0.3"/>
  <pageSetup paperSize="9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6C46-DEB5-4305-A2F8-790A14D2F9A0}">
  <sheetPr codeName="Sheet4"/>
  <dimension ref="A1:F51"/>
  <sheetViews>
    <sheetView zoomScale="80" zoomScaleNormal="80" workbookViewId="0"/>
  </sheetViews>
  <sheetFormatPr defaultColWidth="9.140625" defaultRowHeight="16.5"/>
  <cols>
    <col min="1" max="1" width="14.140625" style="18" customWidth="1"/>
    <col min="2" max="2" width="90.7109375" style="18" bestFit="1" customWidth="1"/>
    <col min="3" max="16384" width="9.140625" style="18"/>
  </cols>
  <sheetData>
    <row r="1" spans="1:2">
      <c r="A1" s="18" t="s">
        <v>82</v>
      </c>
    </row>
    <row r="3" spans="1:2">
      <c r="A3" s="18" t="s">
        <v>83</v>
      </c>
    </row>
    <row r="6" spans="1:2">
      <c r="A6" s="19" t="s">
        <v>84</v>
      </c>
      <c r="B6" s="19" t="s">
        <v>8</v>
      </c>
    </row>
    <row r="7" spans="1:2">
      <c r="A7" s="27" t="s">
        <v>85</v>
      </c>
      <c r="B7" s="27" t="s">
        <v>86</v>
      </c>
    </row>
    <row r="8" spans="1:2">
      <c r="A8" s="27" t="s">
        <v>87</v>
      </c>
      <c r="B8" s="27" t="s">
        <v>88</v>
      </c>
    </row>
    <row r="9" spans="1:2">
      <c r="A9" s="27" t="s">
        <v>89</v>
      </c>
      <c r="B9" s="27" t="s">
        <v>90</v>
      </c>
    </row>
    <row r="10" spans="1:2">
      <c r="A10" s="27"/>
      <c r="B10" s="27"/>
    </row>
    <row r="11" spans="1:2">
      <c r="A11" s="27" t="s">
        <v>91</v>
      </c>
      <c r="B11" s="27" t="s">
        <v>92</v>
      </c>
    </row>
    <row r="12" spans="1:2">
      <c r="A12" s="27" t="s">
        <v>93</v>
      </c>
      <c r="B12" s="27" t="s">
        <v>94</v>
      </c>
    </row>
    <row r="13" spans="1:2">
      <c r="A13" s="27" t="s">
        <v>95</v>
      </c>
      <c r="B13" s="27" t="s">
        <v>96</v>
      </c>
    </row>
    <row r="14" spans="1:2">
      <c r="A14" s="27" t="s">
        <v>97</v>
      </c>
      <c r="B14" s="27" t="s">
        <v>98</v>
      </c>
    </row>
    <row r="15" spans="1:2">
      <c r="A15" s="27" t="s">
        <v>99</v>
      </c>
      <c r="B15" s="27" t="s">
        <v>100</v>
      </c>
    </row>
    <row r="16" spans="1:2">
      <c r="A16" s="27" t="s">
        <v>101</v>
      </c>
      <c r="B16" s="27" t="s">
        <v>102</v>
      </c>
    </row>
    <row r="17" spans="1:6">
      <c r="A17" s="27"/>
      <c r="B17" s="27"/>
    </row>
    <row r="18" spans="1:6">
      <c r="A18" s="27" t="s">
        <v>103</v>
      </c>
      <c r="B18" s="27" t="s">
        <v>104</v>
      </c>
    </row>
    <row r="19" spans="1:6">
      <c r="A19" s="27" t="s">
        <v>105</v>
      </c>
      <c r="B19" s="27" t="s">
        <v>106</v>
      </c>
      <c r="F19" s="21"/>
    </row>
    <row r="20" spans="1:6">
      <c r="A20" s="27"/>
      <c r="B20" s="27"/>
    </row>
    <row r="21" spans="1:6">
      <c r="A21" s="27" t="s">
        <v>107</v>
      </c>
      <c r="B21" s="27" t="s">
        <v>108</v>
      </c>
    </row>
    <row r="22" spans="1:6">
      <c r="A22" s="27" t="s">
        <v>109</v>
      </c>
      <c r="B22" s="27" t="s">
        <v>110</v>
      </c>
    </row>
    <row r="23" spans="1:6">
      <c r="A23" s="27"/>
      <c r="B23" s="27"/>
    </row>
    <row r="24" spans="1:6">
      <c r="A24" s="27" t="s">
        <v>111</v>
      </c>
      <c r="B24" s="27" t="s">
        <v>112</v>
      </c>
    </row>
    <row r="25" spans="1:6">
      <c r="A25" s="27" t="s">
        <v>113</v>
      </c>
      <c r="B25" s="27" t="s">
        <v>114</v>
      </c>
    </row>
    <row r="26" spans="1:6">
      <c r="A26" s="27" t="s">
        <v>115</v>
      </c>
      <c r="B26" s="27" t="s">
        <v>116</v>
      </c>
    </row>
    <row r="27" spans="1:6">
      <c r="A27" s="27" t="s">
        <v>117</v>
      </c>
      <c r="B27" s="27" t="s">
        <v>118</v>
      </c>
    </row>
    <row r="28" spans="1:6">
      <c r="A28" s="27" t="s">
        <v>119</v>
      </c>
      <c r="B28" s="27" t="s">
        <v>120</v>
      </c>
    </row>
    <row r="29" spans="1:6">
      <c r="A29" s="27" t="s">
        <v>121</v>
      </c>
      <c r="B29" s="27" t="s">
        <v>122</v>
      </c>
    </row>
    <row r="30" spans="1:6">
      <c r="A30" s="27" t="s">
        <v>123</v>
      </c>
      <c r="B30" s="27" t="s">
        <v>124</v>
      </c>
    </row>
    <row r="31" spans="1:6">
      <c r="A31" s="27" t="s">
        <v>125</v>
      </c>
      <c r="B31" s="27" t="s">
        <v>126</v>
      </c>
    </row>
    <row r="32" spans="1:6">
      <c r="A32" s="27" t="s">
        <v>127</v>
      </c>
      <c r="B32" s="27" t="s">
        <v>128</v>
      </c>
    </row>
    <row r="33" spans="1:2">
      <c r="A33" s="27"/>
      <c r="B33" s="27"/>
    </row>
    <row r="34" spans="1:2">
      <c r="A34" s="27" t="s">
        <v>129</v>
      </c>
      <c r="B34" s="27" t="s">
        <v>130</v>
      </c>
    </row>
    <row r="35" spans="1:2">
      <c r="A35" s="27" t="s">
        <v>131</v>
      </c>
      <c r="B35" s="27" t="s">
        <v>132</v>
      </c>
    </row>
    <row r="38" spans="1:2">
      <c r="A38" s="18" t="s">
        <v>133</v>
      </c>
    </row>
    <row r="39" spans="1:2">
      <c r="A39" s="19" t="s">
        <v>134</v>
      </c>
      <c r="B39" s="19" t="s">
        <v>8</v>
      </c>
    </row>
    <row r="40" spans="1:2">
      <c r="A40" s="27" t="s">
        <v>135</v>
      </c>
      <c r="B40" s="27" t="s">
        <v>136</v>
      </c>
    </row>
    <row r="41" spans="1:2">
      <c r="A41" s="27" t="s">
        <v>137</v>
      </c>
      <c r="B41" s="27" t="s">
        <v>138</v>
      </c>
    </row>
    <row r="42" spans="1:2">
      <c r="A42" s="18" t="s">
        <v>139</v>
      </c>
    </row>
    <row r="45" spans="1:2">
      <c r="A45" s="18" t="s">
        <v>140</v>
      </c>
    </row>
    <row r="46" spans="1:2">
      <c r="A46" s="19" t="s">
        <v>134</v>
      </c>
      <c r="B46" s="19" t="s">
        <v>8</v>
      </c>
    </row>
    <row r="47" spans="1:2">
      <c r="A47" s="27" t="s">
        <v>141</v>
      </c>
      <c r="B47" s="32" t="s">
        <v>142</v>
      </c>
    </row>
    <row r="48" spans="1:2" ht="33">
      <c r="A48" s="27" t="s">
        <v>143</v>
      </c>
      <c r="B48" s="32" t="s">
        <v>144</v>
      </c>
    </row>
    <row r="49" spans="1:2" ht="33">
      <c r="A49" s="27" t="s">
        <v>145</v>
      </c>
      <c r="B49" s="32" t="s">
        <v>146</v>
      </c>
    </row>
    <row r="50" spans="1:2">
      <c r="A50" s="27" t="s">
        <v>147</v>
      </c>
      <c r="B50" s="32" t="s">
        <v>148</v>
      </c>
    </row>
    <row r="51" spans="1:2">
      <c r="A51" s="27" t="s">
        <v>149</v>
      </c>
      <c r="B51" s="32" t="s">
        <v>150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D7C6-E0A2-4E6C-92F7-16A8CA69522C}">
  <sheetPr codeName="Sheet10"/>
  <dimension ref="A1:U24"/>
  <sheetViews>
    <sheetView zoomScale="80" zoomScaleNormal="80" workbookViewId="0"/>
  </sheetViews>
  <sheetFormatPr defaultColWidth="8.85546875" defaultRowHeight="16.5"/>
  <cols>
    <col min="1" max="1" width="6.140625" style="1" customWidth="1"/>
    <col min="2" max="3" width="9.28515625" style="1" customWidth="1"/>
    <col min="4" max="4" width="33.5703125" style="1" customWidth="1"/>
    <col min="5" max="5" width="24.140625" style="21" bestFit="1" customWidth="1"/>
    <col min="6" max="6" width="55.140625" style="1" customWidth="1"/>
    <col min="7" max="7" width="15.28515625" style="1" bestFit="1" customWidth="1"/>
    <col min="8" max="8" width="13.28515625" style="1" bestFit="1" customWidth="1"/>
    <col min="9" max="9" width="20.85546875" style="1" customWidth="1"/>
    <col min="10" max="10" width="8.85546875" style="1" customWidth="1"/>
    <col min="11" max="11" width="10" style="1" customWidth="1"/>
    <col min="12" max="12" width="6" style="1" customWidth="1"/>
    <col min="13" max="13" width="14.140625" style="21" customWidth="1"/>
    <col min="14" max="14" width="46" style="1" customWidth="1"/>
    <col min="15" max="15" width="13.85546875" style="1" customWidth="1"/>
    <col min="16" max="16" width="46.140625" style="1" customWidth="1"/>
    <col min="17" max="17" width="8.85546875" style="1"/>
    <col min="18" max="18" width="10" style="1" bestFit="1" customWidth="1"/>
    <col min="19" max="19" width="11.28515625" style="1" bestFit="1" customWidth="1"/>
    <col min="20" max="21" width="13" style="1" bestFit="1" customWidth="1"/>
    <col min="22" max="16384" width="8.85546875" style="1"/>
  </cols>
  <sheetData>
    <row r="1" spans="1:21">
      <c r="A1" s="15" t="s">
        <v>151</v>
      </c>
      <c r="B1" s="16"/>
      <c r="C1" s="13">
        <v>1</v>
      </c>
      <c r="D1" s="9"/>
      <c r="E1" s="22" t="s">
        <v>152</v>
      </c>
      <c r="F1" s="17" t="s">
        <v>153</v>
      </c>
      <c r="G1" s="14"/>
      <c r="H1" s="14"/>
      <c r="I1" s="14"/>
      <c r="J1" s="14"/>
      <c r="K1" s="14"/>
      <c r="L1" s="14"/>
      <c r="M1" s="14"/>
      <c r="N1" s="14"/>
      <c r="O1" s="14"/>
      <c r="P1" s="9"/>
    </row>
    <row r="2" spans="1:21">
      <c r="A2" s="15" t="s">
        <v>154</v>
      </c>
      <c r="B2" s="16"/>
      <c r="C2" s="13"/>
      <c r="D2" s="34">
        <v>45190</v>
      </c>
      <c r="E2" s="23" t="s">
        <v>155</v>
      </c>
      <c r="F2" s="5" t="s">
        <v>156</v>
      </c>
      <c r="G2" s="11"/>
      <c r="H2" s="11"/>
      <c r="I2" s="11"/>
      <c r="J2" s="11"/>
      <c r="K2" s="11"/>
      <c r="M2" s="1"/>
      <c r="N2" s="11"/>
      <c r="O2" s="11"/>
      <c r="P2" s="4"/>
    </row>
    <row r="3" spans="1:21">
      <c r="A3" s="15" t="s">
        <v>157</v>
      </c>
      <c r="B3" s="16"/>
      <c r="C3" s="13"/>
      <c r="D3" s="34">
        <v>45519</v>
      </c>
      <c r="E3" s="24"/>
      <c r="F3" s="5" t="s">
        <v>158</v>
      </c>
      <c r="M3" s="1"/>
      <c r="P3" s="6"/>
    </row>
    <row r="4" spans="1:21">
      <c r="A4" s="15" t="s">
        <v>159</v>
      </c>
      <c r="B4" s="16"/>
      <c r="C4" s="13"/>
      <c r="D4" s="9"/>
      <c r="E4" s="24"/>
      <c r="F4" s="5" t="s">
        <v>160</v>
      </c>
      <c r="M4" s="1"/>
      <c r="P4" s="6"/>
    </row>
    <row r="5" spans="1:21">
      <c r="A5" s="15" t="s">
        <v>161</v>
      </c>
      <c r="B5" s="16"/>
      <c r="C5" s="13"/>
      <c r="D5" s="9"/>
      <c r="E5" s="25"/>
      <c r="F5" s="7" t="s">
        <v>162</v>
      </c>
      <c r="G5" s="12"/>
      <c r="H5" s="12"/>
      <c r="I5" s="12"/>
      <c r="J5" s="12"/>
      <c r="K5" s="12"/>
      <c r="L5" s="12"/>
      <c r="M5" s="12"/>
      <c r="N5" s="12"/>
      <c r="O5" s="12"/>
      <c r="P5" s="8"/>
    </row>
    <row r="6" spans="1:21">
      <c r="E6" s="1"/>
      <c r="M6" s="1"/>
      <c r="N6" s="12"/>
      <c r="O6" s="12"/>
    </row>
    <row r="7" spans="1:21">
      <c r="A7" s="15" t="s">
        <v>13</v>
      </c>
      <c r="B7" s="15" t="s">
        <v>37</v>
      </c>
      <c r="C7" s="15" t="s">
        <v>40</v>
      </c>
      <c r="D7" s="15" t="s">
        <v>43</v>
      </c>
      <c r="E7" s="20" t="s">
        <v>46</v>
      </c>
      <c r="F7" s="15" t="s">
        <v>48</v>
      </c>
      <c r="G7" s="15" t="s">
        <v>50</v>
      </c>
      <c r="H7" s="15" t="s">
        <v>52</v>
      </c>
      <c r="I7" s="15" t="s">
        <v>54</v>
      </c>
      <c r="J7" s="15" t="s">
        <v>57</v>
      </c>
      <c r="K7" s="20" t="s">
        <v>59</v>
      </c>
      <c r="L7" s="20" t="s">
        <v>61</v>
      </c>
      <c r="M7" s="20" t="s">
        <v>163</v>
      </c>
      <c r="N7" s="30" t="s">
        <v>65</v>
      </c>
      <c r="O7" s="30" t="s">
        <v>67</v>
      </c>
      <c r="P7" s="15" t="s">
        <v>69</v>
      </c>
      <c r="T7" s="1" t="s">
        <v>977</v>
      </c>
    </row>
    <row r="8" spans="1:21">
      <c r="A8" s="2">
        <v>1</v>
      </c>
      <c r="B8" s="2" t="s">
        <v>164</v>
      </c>
      <c r="C8" s="2"/>
      <c r="D8" s="2" t="s">
        <v>165</v>
      </c>
      <c r="E8" s="3" t="s">
        <v>166</v>
      </c>
      <c r="F8" s="3" t="s">
        <v>167</v>
      </c>
      <c r="G8" s="2" t="s">
        <v>168</v>
      </c>
      <c r="H8" s="2" t="s">
        <v>169</v>
      </c>
      <c r="I8" s="28" t="s">
        <v>170</v>
      </c>
      <c r="J8" s="2" t="s">
        <v>171</v>
      </c>
      <c r="K8" s="2" t="s">
        <v>172</v>
      </c>
      <c r="L8" s="3" t="s">
        <v>173</v>
      </c>
      <c r="M8" s="3"/>
      <c r="N8" s="3"/>
      <c r="O8" s="3"/>
      <c r="P8" s="3"/>
      <c r="U8" s="1" t="str">
        <f t="shared" ref="U8:U16" si="0">D8&amp;" "&amp;G8&amp; " " &amp; H8&amp;" "  &amp; IF(G9="",""," ,")</f>
        <v>HIS_PATIENT_ID VARCHAR(64) NOT NULL  ,</v>
      </c>
    </row>
    <row r="9" spans="1:21" ht="33">
      <c r="A9" s="2">
        <v>2</v>
      </c>
      <c r="B9" s="2"/>
      <c r="C9" s="2"/>
      <c r="D9" s="2" t="s">
        <v>174</v>
      </c>
      <c r="E9" s="3" t="s">
        <v>175</v>
      </c>
      <c r="F9" s="3" t="s">
        <v>176</v>
      </c>
      <c r="G9" s="2" t="s">
        <v>168</v>
      </c>
      <c r="H9" s="2"/>
      <c r="I9" s="28" t="s">
        <v>177</v>
      </c>
      <c r="J9" s="2" t="s">
        <v>178</v>
      </c>
      <c r="K9" s="2" t="s">
        <v>178</v>
      </c>
      <c r="L9" s="3" t="s">
        <v>173</v>
      </c>
      <c r="M9" s="3" t="s">
        <v>179</v>
      </c>
      <c r="N9" s="3"/>
      <c r="O9" s="3"/>
      <c r="P9" s="3"/>
      <c r="U9" s="1" t="str">
        <f t="shared" si="0"/>
        <v>ALT_PATIENT_ID VARCHAR(64)   ,</v>
      </c>
    </row>
    <row r="10" spans="1:21" ht="33">
      <c r="A10" s="2">
        <v>3</v>
      </c>
      <c r="B10" s="2"/>
      <c r="C10" s="2" t="s">
        <v>180</v>
      </c>
      <c r="D10" s="2" t="s">
        <v>181</v>
      </c>
      <c r="E10" s="3" t="s">
        <v>182</v>
      </c>
      <c r="F10" s="3" t="s">
        <v>183</v>
      </c>
      <c r="G10" s="2" t="s">
        <v>168</v>
      </c>
      <c r="H10" s="2" t="s">
        <v>169</v>
      </c>
      <c r="I10" s="28" t="s">
        <v>170</v>
      </c>
      <c r="J10" s="2" t="s">
        <v>178</v>
      </c>
      <c r="K10" s="2" t="s">
        <v>178</v>
      </c>
      <c r="L10" s="3" t="s">
        <v>173</v>
      </c>
      <c r="M10" s="3" t="s">
        <v>179</v>
      </c>
      <c r="N10" s="3"/>
      <c r="O10" s="3"/>
      <c r="P10" s="3"/>
      <c r="U10" s="1" t="str">
        <f t="shared" si="0"/>
        <v>PATIENT_ID VARCHAR(64) NOT NULL  ,</v>
      </c>
    </row>
    <row r="11" spans="1:21">
      <c r="A11" s="2">
        <v>4</v>
      </c>
      <c r="B11" s="2"/>
      <c r="C11" s="2"/>
      <c r="D11" s="2" t="s">
        <v>184</v>
      </c>
      <c r="E11" s="3" t="s">
        <v>185</v>
      </c>
      <c r="F11" s="3" t="s">
        <v>186</v>
      </c>
      <c r="G11" s="2" t="s">
        <v>187</v>
      </c>
      <c r="H11" s="2" t="s">
        <v>169</v>
      </c>
      <c r="I11" s="28" t="s">
        <v>188</v>
      </c>
      <c r="J11" s="2" t="s">
        <v>189</v>
      </c>
      <c r="K11" s="3" t="s">
        <v>190</v>
      </c>
      <c r="L11" s="3" t="s">
        <v>141</v>
      </c>
      <c r="M11" s="3"/>
      <c r="N11" s="3" t="s">
        <v>191</v>
      </c>
      <c r="O11" s="3"/>
      <c r="P11" s="3"/>
      <c r="U11" s="1" t="str">
        <f t="shared" si="0"/>
        <v>DATA_UPDATE_DATE VARCHAR(16) NOT NULL  ,</v>
      </c>
    </row>
    <row r="12" spans="1:21">
      <c r="A12" s="2">
        <v>5</v>
      </c>
      <c r="B12" s="2"/>
      <c r="C12" s="2"/>
      <c r="D12" s="2" t="s">
        <v>192</v>
      </c>
      <c r="E12" s="3" t="s">
        <v>193</v>
      </c>
      <c r="F12" s="2" t="s">
        <v>194</v>
      </c>
      <c r="G12" s="2" t="s">
        <v>195</v>
      </c>
      <c r="H12" s="2" t="s">
        <v>169</v>
      </c>
      <c r="I12" s="28" t="s">
        <v>196</v>
      </c>
      <c r="J12" s="2" t="s">
        <v>178</v>
      </c>
      <c r="K12" s="2" t="s">
        <v>178</v>
      </c>
      <c r="L12" s="2" t="s">
        <v>178</v>
      </c>
      <c r="M12" s="29"/>
      <c r="N12" s="3"/>
      <c r="O12" s="3"/>
      <c r="P12" s="3"/>
      <c r="U12" s="1" t="str">
        <f t="shared" si="0"/>
        <v xml:space="preserve">TS_TABLE_UPDATE TIMESTAMP NOT NULL </v>
      </c>
    </row>
    <row r="13" spans="1:21">
      <c r="F13" s="21"/>
      <c r="T13" s="1" t="s">
        <v>978</v>
      </c>
      <c r="U13" s="1" t="str">
        <f t="shared" si="0"/>
        <v xml:space="preserve">   </v>
      </c>
    </row>
    <row r="14" spans="1:21">
      <c r="F14" s="21"/>
      <c r="U14" s="1" t="str">
        <f t="shared" si="0"/>
        <v xml:space="preserve">   </v>
      </c>
    </row>
    <row r="15" spans="1:21">
      <c r="F15" s="21"/>
      <c r="U15" s="1" t="str">
        <f t="shared" si="0"/>
        <v xml:space="preserve">   </v>
      </c>
    </row>
    <row r="16" spans="1:21">
      <c r="F16" s="21"/>
      <c r="U16" s="1" t="str">
        <f t="shared" si="0"/>
        <v xml:space="preserve">   </v>
      </c>
    </row>
    <row r="17" spans="6:6">
      <c r="F17" s="21"/>
    </row>
    <row r="18" spans="6:6">
      <c r="F18" s="21"/>
    </row>
    <row r="19" spans="6:6">
      <c r="F19" s="21"/>
    </row>
    <row r="20" spans="6:6">
      <c r="F20" s="21"/>
    </row>
    <row r="21" spans="6:6">
      <c r="F21" s="21"/>
    </row>
    <row r="22" spans="6:6">
      <c r="F22" s="21"/>
    </row>
    <row r="23" spans="6:6">
      <c r="F23" s="21"/>
    </row>
    <row r="24" spans="6:6">
      <c r="F24" s="21"/>
    </row>
  </sheetData>
  <phoneticPr fontId="4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C47"/>
  <sheetViews>
    <sheetView zoomScale="85" zoomScaleNormal="85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ColWidth="8.85546875" defaultRowHeight="16.5"/>
  <cols>
    <col min="1" max="1" width="6.140625" style="1" customWidth="1"/>
    <col min="2" max="3" width="9.28515625" style="1" customWidth="1"/>
    <col min="4" max="4" width="33.5703125" style="1" customWidth="1"/>
    <col min="5" max="5" width="24.140625" style="21" bestFit="1" customWidth="1"/>
    <col min="6" max="6" width="55.140625" style="1" customWidth="1"/>
    <col min="7" max="7" width="15.28515625" style="1" bestFit="1" customWidth="1"/>
    <col min="8" max="8" width="13.28515625" style="1" bestFit="1" customWidth="1"/>
    <col min="9" max="9" width="20.85546875" style="1" customWidth="1"/>
    <col min="10" max="10" width="8.85546875" style="1" customWidth="1"/>
    <col min="11" max="11" width="10" style="1" customWidth="1"/>
    <col min="12" max="12" width="6" style="1" bestFit="1" customWidth="1"/>
    <col min="13" max="13" width="14.140625" style="21" customWidth="1"/>
    <col min="14" max="14" width="46" style="1" customWidth="1"/>
    <col min="15" max="15" width="13.85546875" style="1" customWidth="1"/>
    <col min="16" max="16" width="46.140625" style="1" customWidth="1"/>
    <col min="17" max="17" width="29.42578125" style="1" bestFit="1" customWidth="1"/>
    <col min="18" max="18" width="34.140625" style="1" customWidth="1"/>
    <col min="19" max="16384" width="8.85546875" style="1"/>
  </cols>
  <sheetData>
    <row r="1" spans="1:29">
      <c r="A1" s="15" t="s">
        <v>151</v>
      </c>
      <c r="B1" s="16"/>
      <c r="C1" s="13">
        <v>2</v>
      </c>
      <c r="D1" s="9"/>
      <c r="E1" s="22" t="s">
        <v>152</v>
      </c>
      <c r="F1" s="17" t="s">
        <v>197</v>
      </c>
      <c r="G1" s="14"/>
      <c r="H1" s="14"/>
      <c r="I1" s="14"/>
      <c r="J1" s="14"/>
      <c r="K1" s="14"/>
      <c r="L1" s="14"/>
      <c r="M1" s="14"/>
      <c r="N1" s="14"/>
      <c r="O1" s="14"/>
      <c r="P1" s="9"/>
    </row>
    <row r="2" spans="1:29">
      <c r="A2" s="15" t="s">
        <v>154</v>
      </c>
      <c r="B2" s="16"/>
      <c r="C2" s="13"/>
      <c r="D2" s="34">
        <v>45190</v>
      </c>
      <c r="E2" s="23" t="s">
        <v>155</v>
      </c>
      <c r="F2" s="10" t="s">
        <v>198</v>
      </c>
      <c r="G2" s="11"/>
      <c r="H2" s="11"/>
      <c r="I2" s="11"/>
      <c r="J2" s="11"/>
      <c r="K2" s="11"/>
      <c r="M2" s="11"/>
      <c r="N2" s="11"/>
      <c r="O2" s="11"/>
      <c r="P2" s="4"/>
    </row>
    <row r="3" spans="1:29">
      <c r="A3" s="15" t="s">
        <v>157</v>
      </c>
      <c r="B3" s="16"/>
      <c r="C3" s="13"/>
      <c r="D3" s="34">
        <v>45519</v>
      </c>
      <c r="E3" s="24"/>
      <c r="F3" s="5" t="s">
        <v>199</v>
      </c>
      <c r="M3" s="1"/>
      <c r="P3" s="6"/>
    </row>
    <row r="4" spans="1:29">
      <c r="A4" s="15" t="s">
        <v>159</v>
      </c>
      <c r="B4" s="16"/>
      <c r="C4" s="13"/>
      <c r="D4" s="9"/>
      <c r="E4" s="24"/>
      <c r="F4" s="5" t="s">
        <v>200</v>
      </c>
      <c r="M4" s="1"/>
      <c r="P4" s="6"/>
    </row>
    <row r="5" spans="1:29">
      <c r="A5" s="15" t="s">
        <v>161</v>
      </c>
      <c r="B5" s="16"/>
      <c r="C5" s="13"/>
      <c r="D5" s="9"/>
      <c r="E5" s="25"/>
      <c r="F5" s="7"/>
      <c r="G5" s="12"/>
      <c r="H5" s="12"/>
      <c r="I5" s="12"/>
      <c r="J5" s="12"/>
      <c r="K5" s="12"/>
      <c r="L5" s="12"/>
      <c r="M5" s="12"/>
      <c r="N5" s="12"/>
      <c r="O5" s="12"/>
      <c r="P5" s="8"/>
    </row>
    <row r="6" spans="1:29">
      <c r="E6" s="1"/>
      <c r="M6" s="1"/>
      <c r="Q6" s="57"/>
    </row>
    <row r="7" spans="1:29">
      <c r="A7" s="15" t="s">
        <v>13</v>
      </c>
      <c r="B7" s="15" t="s">
        <v>37</v>
      </c>
      <c r="C7" s="15" t="s">
        <v>40</v>
      </c>
      <c r="D7" s="15" t="s">
        <v>43</v>
      </c>
      <c r="E7" s="20" t="s">
        <v>46</v>
      </c>
      <c r="F7" s="15" t="s">
        <v>48</v>
      </c>
      <c r="G7" s="15" t="s">
        <v>50</v>
      </c>
      <c r="H7" s="15" t="s">
        <v>201</v>
      </c>
      <c r="I7" s="15" t="s">
        <v>54</v>
      </c>
      <c r="J7" s="15" t="s">
        <v>57</v>
      </c>
      <c r="K7" s="20" t="s">
        <v>59</v>
      </c>
      <c r="L7" s="20" t="s">
        <v>61</v>
      </c>
      <c r="M7" s="20" t="s">
        <v>163</v>
      </c>
      <c r="N7" s="15" t="s">
        <v>65</v>
      </c>
      <c r="O7" s="15" t="s">
        <v>202</v>
      </c>
      <c r="P7" s="15" t="s">
        <v>69</v>
      </c>
      <c r="Q7" s="42" t="s">
        <v>979</v>
      </c>
      <c r="R7" s="42" t="s">
        <v>980</v>
      </c>
      <c r="T7" s="1" t="s">
        <v>977</v>
      </c>
    </row>
    <row r="8" spans="1:29">
      <c r="A8" s="43">
        <v>1</v>
      </c>
      <c r="B8" s="43" t="s">
        <v>203</v>
      </c>
      <c r="C8" s="43"/>
      <c r="D8" s="43" t="s">
        <v>204</v>
      </c>
      <c r="E8" s="44" t="s">
        <v>205</v>
      </c>
      <c r="F8" s="44" t="s">
        <v>206</v>
      </c>
      <c r="G8" s="43" t="s">
        <v>207</v>
      </c>
      <c r="H8" s="43" t="s">
        <v>208</v>
      </c>
      <c r="I8" s="45" t="s">
        <v>209</v>
      </c>
      <c r="J8" s="43" t="s">
        <v>210</v>
      </c>
      <c r="K8" s="43" t="s">
        <v>210</v>
      </c>
      <c r="L8" s="43" t="s">
        <v>210</v>
      </c>
      <c r="M8" s="43" t="s">
        <v>178</v>
      </c>
      <c r="N8" s="44"/>
      <c r="O8" s="44"/>
      <c r="P8" s="44"/>
      <c r="Q8" s="43" t="s">
        <v>981</v>
      </c>
      <c r="R8" s="43"/>
      <c r="U8" s="1" t="str">
        <f t="shared" ref="U8:U16" si="0">D8&amp;" "&amp;G8&amp; " " &amp; H8&amp;" "  &amp; IF(G9="",""," ,")</f>
        <v>PI_UNIQUE_ID SERIAL NOT NULL  ,</v>
      </c>
      <c r="AC8" s="1" t="str">
        <f>"AS "&amp;LOWER(D8)&amp;","</f>
        <v>AS pi_unique_id,</v>
      </c>
    </row>
    <row r="9" spans="1:29" ht="33">
      <c r="A9" s="43">
        <v>2</v>
      </c>
      <c r="B9" s="43" t="s">
        <v>211</v>
      </c>
      <c r="C9" s="43" t="s">
        <v>180</v>
      </c>
      <c r="D9" s="47" t="s">
        <v>212</v>
      </c>
      <c r="E9" s="44" t="s">
        <v>182</v>
      </c>
      <c r="F9" s="44" t="s">
        <v>213</v>
      </c>
      <c r="G9" s="43" t="s">
        <v>168</v>
      </c>
      <c r="H9" s="43" t="s">
        <v>208</v>
      </c>
      <c r="I9" s="43" t="s">
        <v>170</v>
      </c>
      <c r="J9" s="43" t="s">
        <v>171</v>
      </c>
      <c r="K9" s="43" t="s">
        <v>172</v>
      </c>
      <c r="L9" s="44" t="s">
        <v>173</v>
      </c>
      <c r="M9" s="44" t="s">
        <v>179</v>
      </c>
      <c r="N9" s="43"/>
      <c r="O9" s="44"/>
      <c r="P9" s="44"/>
      <c r="Q9" s="43" t="s">
        <v>982</v>
      </c>
      <c r="R9" s="43"/>
      <c r="U9" s="1" t="str">
        <f t="shared" si="0"/>
        <v>PATIENT_ID VARCHAR(64) NOT NULL  ,</v>
      </c>
      <c r="AC9" s="1" t="str">
        <f t="shared" ref="AC9:AC16" si="1">"AS "&amp;LOWER(D9)&amp;","</f>
        <v>AS patient_id,</v>
      </c>
    </row>
    <row r="10" spans="1:29" ht="99">
      <c r="A10" s="43">
        <v>3</v>
      </c>
      <c r="B10" s="43"/>
      <c r="C10" s="43" t="s">
        <v>180</v>
      </c>
      <c r="D10" s="43" t="s">
        <v>214</v>
      </c>
      <c r="E10" s="44" t="s">
        <v>215</v>
      </c>
      <c r="F10" s="44" t="s">
        <v>216</v>
      </c>
      <c r="G10" s="43" t="s">
        <v>217</v>
      </c>
      <c r="H10" s="43" t="s">
        <v>208</v>
      </c>
      <c r="I10" s="43" t="s">
        <v>218</v>
      </c>
      <c r="J10" s="43" t="s">
        <v>219</v>
      </c>
      <c r="K10" s="43" t="s">
        <v>220</v>
      </c>
      <c r="L10" s="44" t="s">
        <v>173</v>
      </c>
      <c r="M10" s="44" t="s">
        <v>221</v>
      </c>
      <c r="N10" s="44" t="s">
        <v>222</v>
      </c>
      <c r="O10" s="43"/>
      <c r="P10" s="43"/>
      <c r="Q10" s="44" t="s">
        <v>1149</v>
      </c>
      <c r="R10" s="43" t="s">
        <v>983</v>
      </c>
      <c r="U10" s="1" t="str">
        <f t="shared" si="0"/>
        <v>SEX VARCHAR(8) NOT NULL  ,</v>
      </c>
      <c r="AC10" s="1" t="str">
        <f t="shared" si="1"/>
        <v>AS sex,</v>
      </c>
    </row>
    <row r="11" spans="1:29" ht="49.5">
      <c r="A11" s="2">
        <v>4</v>
      </c>
      <c r="B11" s="2"/>
      <c r="C11" s="2"/>
      <c r="D11" s="2" t="s">
        <v>223</v>
      </c>
      <c r="E11" s="3" t="s">
        <v>224</v>
      </c>
      <c r="F11" s="3" t="s">
        <v>225</v>
      </c>
      <c r="G11" s="2" t="s">
        <v>217</v>
      </c>
      <c r="H11" s="2" t="s">
        <v>208</v>
      </c>
      <c r="I11" s="2" t="s">
        <v>226</v>
      </c>
      <c r="J11" s="2" t="s">
        <v>227</v>
      </c>
      <c r="K11" s="2" t="s">
        <v>228</v>
      </c>
      <c r="L11" s="3" t="s">
        <v>173</v>
      </c>
      <c r="M11" s="3" t="s">
        <v>229</v>
      </c>
      <c r="N11" s="2" t="s">
        <v>230</v>
      </c>
      <c r="O11" s="3"/>
      <c r="P11" s="3"/>
      <c r="Q11" s="3"/>
      <c r="R11" s="2"/>
      <c r="U11" s="1" t="str">
        <f t="shared" si="0"/>
        <v>BIRTHDATE VARCHAR(8) NOT NULL  ,</v>
      </c>
      <c r="AC11" s="1" t="str">
        <f t="shared" si="1"/>
        <v>AS birthdate,</v>
      </c>
    </row>
    <row r="12" spans="1:29" ht="49.5">
      <c r="A12" s="43">
        <v>5</v>
      </c>
      <c r="B12" s="43"/>
      <c r="C12" s="43" t="s">
        <v>180</v>
      </c>
      <c r="D12" s="43" t="s">
        <v>231</v>
      </c>
      <c r="E12" s="44" t="s">
        <v>232</v>
      </c>
      <c r="F12" s="44" t="s">
        <v>233</v>
      </c>
      <c r="G12" s="43" t="s">
        <v>103</v>
      </c>
      <c r="H12" s="43" t="s">
        <v>208</v>
      </c>
      <c r="I12" s="43" t="s">
        <v>234</v>
      </c>
      <c r="J12" s="43" t="s">
        <v>210</v>
      </c>
      <c r="K12" s="44" t="s">
        <v>210</v>
      </c>
      <c r="L12" s="44" t="s">
        <v>210</v>
      </c>
      <c r="M12" s="46" t="s">
        <v>178</v>
      </c>
      <c r="N12" s="44"/>
      <c r="O12" s="43"/>
      <c r="P12" s="43"/>
      <c r="Q12" s="44" t="s">
        <v>984</v>
      </c>
      <c r="R12" s="43"/>
      <c r="U12" s="1" t="str">
        <f t="shared" si="0"/>
        <v>SCH_BIRTHDATE DATE NOT NULL  ,</v>
      </c>
      <c r="AC12" s="1" t="str">
        <f t="shared" si="1"/>
        <v>AS sch_birthdate,</v>
      </c>
    </row>
    <row r="13" spans="1:29" ht="33">
      <c r="A13" s="43">
        <v>6</v>
      </c>
      <c r="B13" s="43"/>
      <c r="C13" s="43"/>
      <c r="D13" s="44" t="s">
        <v>235</v>
      </c>
      <c r="E13" s="44" t="s">
        <v>236</v>
      </c>
      <c r="F13" s="44" t="s">
        <v>237</v>
      </c>
      <c r="G13" s="43" t="s">
        <v>99</v>
      </c>
      <c r="H13" s="43"/>
      <c r="I13" s="43" t="s">
        <v>170</v>
      </c>
      <c r="J13" s="43" t="s">
        <v>238</v>
      </c>
      <c r="K13" s="43" t="s">
        <v>239</v>
      </c>
      <c r="L13" s="44" t="s">
        <v>240</v>
      </c>
      <c r="M13" s="44" t="s">
        <v>241</v>
      </c>
      <c r="N13" s="43" t="s">
        <v>242</v>
      </c>
      <c r="O13" s="44"/>
      <c r="P13" s="44"/>
      <c r="Q13" s="44" t="s">
        <v>1150</v>
      </c>
      <c r="R13" s="43"/>
      <c r="U13" s="1" t="str">
        <f t="shared" si="0"/>
        <v>RACE TEXT   ,</v>
      </c>
      <c r="AC13" s="1" t="str">
        <f t="shared" si="1"/>
        <v>AS race,</v>
      </c>
    </row>
    <row r="14" spans="1:29" ht="49.5">
      <c r="A14" s="43">
        <v>7</v>
      </c>
      <c r="B14" s="43"/>
      <c r="C14" s="43"/>
      <c r="D14" s="44" t="s">
        <v>243</v>
      </c>
      <c r="E14" s="44" t="s">
        <v>244</v>
      </c>
      <c r="F14" s="44" t="s">
        <v>245</v>
      </c>
      <c r="G14" s="43" t="s">
        <v>99</v>
      </c>
      <c r="H14" s="43"/>
      <c r="I14" s="43" t="s">
        <v>170</v>
      </c>
      <c r="J14" s="43" t="s">
        <v>246</v>
      </c>
      <c r="K14" s="44" t="s">
        <v>247</v>
      </c>
      <c r="L14" s="44" t="s">
        <v>240</v>
      </c>
      <c r="M14" s="44" t="s">
        <v>248</v>
      </c>
      <c r="N14" s="44" t="s">
        <v>249</v>
      </c>
      <c r="O14" s="43"/>
      <c r="P14" s="43"/>
      <c r="Q14" s="44" t="s">
        <v>1151</v>
      </c>
      <c r="R14" s="43"/>
      <c r="U14" s="1" t="str">
        <f t="shared" si="0"/>
        <v>ETHNIC_GROUP TEXT   ,</v>
      </c>
      <c r="AC14" s="1" t="str">
        <f t="shared" si="1"/>
        <v>AS ethnic_group,</v>
      </c>
    </row>
    <row r="15" spans="1:29" ht="33">
      <c r="A15" s="2">
        <v>8</v>
      </c>
      <c r="B15" s="2"/>
      <c r="C15" s="2"/>
      <c r="D15" s="2" t="s">
        <v>184</v>
      </c>
      <c r="E15" s="3" t="s">
        <v>185</v>
      </c>
      <c r="F15" s="3" t="s">
        <v>250</v>
      </c>
      <c r="G15" s="2" t="s">
        <v>187</v>
      </c>
      <c r="H15" s="2" t="s">
        <v>208</v>
      </c>
      <c r="I15" s="2" t="s">
        <v>188</v>
      </c>
      <c r="J15" s="2" t="s">
        <v>189</v>
      </c>
      <c r="K15" s="3" t="s">
        <v>190</v>
      </c>
      <c r="L15" s="3" t="s">
        <v>141</v>
      </c>
      <c r="M15" s="29" t="s">
        <v>178</v>
      </c>
      <c r="N15" s="2" t="s">
        <v>191</v>
      </c>
      <c r="O15" s="3"/>
      <c r="P15" s="3"/>
      <c r="Q15" s="2"/>
      <c r="R15" s="2"/>
      <c r="U15" s="1" t="str">
        <f t="shared" si="0"/>
        <v>DATA_UPDATE_DATE VARCHAR(16) NOT NULL  ,</v>
      </c>
      <c r="AC15" s="1" t="str">
        <f t="shared" si="1"/>
        <v>AS data_update_date,</v>
      </c>
    </row>
    <row r="16" spans="1:29" ht="33">
      <c r="A16" s="2">
        <v>9</v>
      </c>
      <c r="B16" s="2"/>
      <c r="C16" s="2"/>
      <c r="D16" s="2" t="s">
        <v>192</v>
      </c>
      <c r="E16" s="3" t="s">
        <v>193</v>
      </c>
      <c r="F16" s="3" t="s">
        <v>251</v>
      </c>
      <c r="G16" s="2" t="s">
        <v>195</v>
      </c>
      <c r="H16" s="2" t="s">
        <v>208</v>
      </c>
      <c r="I16" s="2" t="s">
        <v>196</v>
      </c>
      <c r="J16" s="2" t="s">
        <v>210</v>
      </c>
      <c r="K16" s="2" t="s">
        <v>210</v>
      </c>
      <c r="L16" s="2" t="s">
        <v>210</v>
      </c>
      <c r="M16" s="29" t="s">
        <v>178</v>
      </c>
      <c r="N16" s="2"/>
      <c r="O16" s="3"/>
      <c r="P16" s="3"/>
      <c r="Q16" s="2"/>
      <c r="R16" s="2"/>
      <c r="U16" s="1" t="str">
        <f t="shared" si="0"/>
        <v xml:space="preserve">TS_TABLE_UPDATE TIMESTAMP NOT NULL </v>
      </c>
      <c r="AC16" s="1" t="str">
        <f t="shared" si="1"/>
        <v>AS ts_table_update,</v>
      </c>
    </row>
    <row r="17" spans="2:20">
      <c r="F17" s="21"/>
      <c r="T17" s="1" t="s">
        <v>978</v>
      </c>
    </row>
    <row r="18" spans="2:20">
      <c r="F18" s="21"/>
    </row>
    <row r="19" spans="2:20">
      <c r="F19" s="21"/>
    </row>
    <row r="20" spans="2:20">
      <c r="F20" s="21"/>
    </row>
    <row r="21" spans="2:20">
      <c r="B21" s="39"/>
      <c r="F21" s="21"/>
    </row>
    <row r="22" spans="2:20">
      <c r="B22" s="39"/>
      <c r="F22" s="21"/>
    </row>
    <row r="23" spans="2:20">
      <c r="B23" s="39"/>
      <c r="F23" s="21"/>
    </row>
    <row r="24" spans="2:20">
      <c r="B24" s="40"/>
      <c r="F24" s="21"/>
    </row>
    <row r="25" spans="2:20">
      <c r="B25" s="40"/>
      <c r="F25" s="21"/>
    </row>
    <row r="26" spans="2:20">
      <c r="B26" s="39"/>
      <c r="F26" s="21"/>
    </row>
    <row r="27" spans="2:20">
      <c r="B27" s="39"/>
      <c r="F27" s="21"/>
    </row>
    <row r="28" spans="2:20">
      <c r="B28" s="39"/>
      <c r="F28" s="21"/>
    </row>
    <row r="29" spans="2:20">
      <c r="B29" s="39"/>
      <c r="F29" s="21"/>
    </row>
    <row r="30" spans="2:20">
      <c r="B30" s="39"/>
      <c r="F30" s="21"/>
    </row>
    <row r="31" spans="2:20">
      <c r="B31" s="39"/>
      <c r="F31" s="21"/>
    </row>
    <row r="32" spans="2:20">
      <c r="B32" s="39"/>
      <c r="F32" s="21"/>
    </row>
    <row r="33" spans="2:6">
      <c r="B33" s="39"/>
      <c r="F33" s="21"/>
    </row>
    <row r="34" spans="2:6">
      <c r="B34" s="41"/>
      <c r="F34" s="21"/>
    </row>
    <row r="35" spans="2:6">
      <c r="B35" s="39"/>
      <c r="F35" s="21"/>
    </row>
    <row r="36" spans="2:6">
      <c r="B36" s="40"/>
      <c r="F36" s="21"/>
    </row>
    <row r="37" spans="2:6">
      <c r="B37" s="39"/>
      <c r="F37" s="21"/>
    </row>
    <row r="38" spans="2:6">
      <c r="B38" s="39"/>
      <c r="F38" s="21"/>
    </row>
    <row r="39" spans="2:6">
      <c r="B39" s="39"/>
      <c r="F39" s="21"/>
    </row>
    <row r="40" spans="2:6">
      <c r="B40" s="39"/>
      <c r="F40" s="21"/>
    </row>
    <row r="41" spans="2:6">
      <c r="B41" s="39"/>
      <c r="F41" s="21"/>
    </row>
    <row r="42" spans="2:6">
      <c r="B42" s="39"/>
      <c r="F42" s="21"/>
    </row>
    <row r="43" spans="2:6">
      <c r="B43" s="39"/>
      <c r="F43" s="21"/>
    </row>
    <row r="44" spans="2:6">
      <c r="B44" s="39"/>
      <c r="F44" s="21"/>
    </row>
    <row r="45" spans="2:6">
      <c r="B45" s="39"/>
      <c r="F45" s="21"/>
    </row>
    <row r="46" spans="2:6">
      <c r="B46" s="39"/>
    </row>
    <row r="47" spans="2:6">
      <c r="B47" s="39"/>
    </row>
  </sheetData>
  <phoneticPr fontId="4"/>
  <pageMargins left="0.23622047244094491" right="0.23622047244094491" top="0.55118110236220474" bottom="0.55118110236220474" header="0.31496062992125984" footer="0.31496062992125984"/>
  <pageSetup paperSize="9" scale="66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3EEE-8011-4745-BDA0-4D7391C81453}">
  <sheetPr codeName="Sheet6"/>
  <dimension ref="A1:AC43"/>
  <sheetViews>
    <sheetView zoomScale="80" zoomScaleNormal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ColWidth="8.85546875" defaultRowHeight="16.5"/>
  <cols>
    <col min="1" max="1" width="6.140625" style="1" customWidth="1"/>
    <col min="2" max="3" width="9.28515625" style="1" customWidth="1"/>
    <col min="4" max="4" width="33.5703125" style="1" customWidth="1"/>
    <col min="5" max="5" width="24.140625" style="21" bestFit="1" customWidth="1"/>
    <col min="6" max="6" width="55.140625" style="1" customWidth="1"/>
    <col min="7" max="7" width="15.28515625" style="1" bestFit="1" customWidth="1"/>
    <col min="8" max="8" width="13.28515625" style="1" bestFit="1" customWidth="1"/>
    <col min="9" max="9" width="20.85546875" style="1" customWidth="1"/>
    <col min="10" max="10" width="8.85546875" style="1"/>
    <col min="11" max="11" width="10" style="1" customWidth="1"/>
    <col min="12" max="12" width="6" style="1" bestFit="1" customWidth="1"/>
    <col min="13" max="13" width="14.140625" style="21" customWidth="1"/>
    <col min="14" max="14" width="46" style="1" customWidth="1"/>
    <col min="15" max="15" width="13.85546875" style="1" customWidth="1"/>
    <col min="16" max="16" width="46.140625" style="1" customWidth="1"/>
    <col min="17" max="17" width="18.140625" style="1" bestFit="1" customWidth="1"/>
    <col min="18" max="18" width="20.140625" style="1" bestFit="1" customWidth="1"/>
    <col min="19" max="16384" width="8.85546875" style="1"/>
  </cols>
  <sheetData>
    <row r="1" spans="1:29">
      <c r="A1" s="15" t="s">
        <v>151</v>
      </c>
      <c r="B1" s="16"/>
      <c r="C1" s="13">
        <v>3</v>
      </c>
      <c r="D1" s="9"/>
      <c r="E1" s="22" t="s">
        <v>152</v>
      </c>
      <c r="F1" s="17" t="s">
        <v>252</v>
      </c>
      <c r="G1" s="14"/>
      <c r="H1" s="14"/>
      <c r="I1" s="14"/>
      <c r="J1" s="14"/>
      <c r="K1" s="14"/>
      <c r="L1" s="14"/>
      <c r="M1" s="14"/>
      <c r="N1" s="14"/>
      <c r="O1" s="14"/>
      <c r="P1" s="9"/>
    </row>
    <row r="2" spans="1:29">
      <c r="A2" s="15" t="s">
        <v>154</v>
      </c>
      <c r="B2" s="16"/>
      <c r="C2" s="13"/>
      <c r="D2" s="34">
        <v>45190</v>
      </c>
      <c r="E2" s="23" t="s">
        <v>155</v>
      </c>
      <c r="F2" s="5" t="s">
        <v>253</v>
      </c>
      <c r="G2" s="11"/>
      <c r="H2" s="11"/>
      <c r="I2" s="11"/>
      <c r="J2" s="11"/>
      <c r="K2" s="11"/>
      <c r="M2" s="11"/>
      <c r="N2" s="11"/>
      <c r="O2" s="11"/>
      <c r="P2" s="4"/>
    </row>
    <row r="3" spans="1:29">
      <c r="A3" s="15" t="s">
        <v>157</v>
      </c>
      <c r="B3" s="16"/>
      <c r="C3" s="13"/>
      <c r="D3" s="34">
        <v>45519</v>
      </c>
      <c r="E3" s="24"/>
      <c r="F3" s="5" t="s">
        <v>254</v>
      </c>
      <c r="M3" s="1"/>
      <c r="P3" s="6"/>
    </row>
    <row r="4" spans="1:29">
      <c r="A4" s="15" t="s">
        <v>159</v>
      </c>
      <c r="B4" s="16"/>
      <c r="C4" s="13"/>
      <c r="D4" s="9"/>
      <c r="E4" s="24"/>
      <c r="F4" s="5"/>
      <c r="M4" s="1"/>
      <c r="P4" s="6"/>
    </row>
    <row r="5" spans="1:29">
      <c r="A5" s="15" t="s">
        <v>161</v>
      </c>
      <c r="B5" s="16"/>
      <c r="C5" s="13"/>
      <c r="D5" s="9"/>
      <c r="E5" s="25"/>
      <c r="F5" s="7"/>
      <c r="G5" s="12"/>
      <c r="H5" s="12"/>
      <c r="I5" s="12"/>
      <c r="J5" s="12"/>
      <c r="K5" s="12"/>
      <c r="L5" s="12"/>
      <c r="M5" s="12"/>
      <c r="N5" s="12"/>
      <c r="O5" s="12"/>
      <c r="P5" s="8"/>
    </row>
    <row r="6" spans="1:29">
      <c r="E6" s="1"/>
      <c r="M6" s="1"/>
      <c r="O6" s="12"/>
      <c r="P6" s="8"/>
    </row>
    <row r="7" spans="1:29">
      <c r="A7" s="15" t="s">
        <v>13</v>
      </c>
      <c r="B7" s="15" t="s">
        <v>37</v>
      </c>
      <c r="C7" s="15" t="s">
        <v>40</v>
      </c>
      <c r="D7" s="15" t="s">
        <v>43</v>
      </c>
      <c r="E7" s="20" t="s">
        <v>46</v>
      </c>
      <c r="F7" s="15" t="s">
        <v>48</v>
      </c>
      <c r="G7" s="15" t="s">
        <v>50</v>
      </c>
      <c r="H7" s="15" t="s">
        <v>201</v>
      </c>
      <c r="I7" s="15" t="s">
        <v>54</v>
      </c>
      <c r="J7" s="15" t="s">
        <v>57</v>
      </c>
      <c r="K7" s="20" t="s">
        <v>59</v>
      </c>
      <c r="L7" s="20" t="s">
        <v>61</v>
      </c>
      <c r="M7" s="20" t="s">
        <v>163</v>
      </c>
      <c r="N7" s="15" t="s">
        <v>65</v>
      </c>
      <c r="O7" s="30" t="s">
        <v>67</v>
      </c>
      <c r="P7" s="30" t="s">
        <v>69</v>
      </c>
      <c r="Q7" s="42" t="s">
        <v>979</v>
      </c>
      <c r="R7" s="42" t="s">
        <v>980</v>
      </c>
      <c r="T7" s="1" t="s">
        <v>985</v>
      </c>
    </row>
    <row r="8" spans="1:29">
      <c r="A8" s="2">
        <v>1</v>
      </c>
      <c r="B8" s="2" t="s">
        <v>203</v>
      </c>
      <c r="C8" s="2"/>
      <c r="D8" s="2" t="s">
        <v>255</v>
      </c>
      <c r="E8" s="3" t="s">
        <v>256</v>
      </c>
      <c r="F8" s="3" t="s">
        <v>257</v>
      </c>
      <c r="G8" s="2" t="s">
        <v>207</v>
      </c>
      <c r="H8" s="2" t="s">
        <v>208</v>
      </c>
      <c r="I8" s="28" t="s">
        <v>209</v>
      </c>
      <c r="J8" s="2" t="s">
        <v>210</v>
      </c>
      <c r="K8" s="2" t="s">
        <v>210</v>
      </c>
      <c r="L8" s="2" t="s">
        <v>210</v>
      </c>
      <c r="M8" s="3"/>
      <c r="N8" s="3"/>
      <c r="O8" s="3"/>
      <c r="P8" s="3"/>
      <c r="Q8" s="2"/>
      <c r="R8" s="2"/>
      <c r="U8" s="1" t="str">
        <f t="shared" ref="U8:U15" si="0">D8&amp;" "&amp;G8&amp; " " &amp; H8&amp;" "  &amp; IF(G9="",""," ,")</f>
        <v>PA_UNIQUE_ID SERIAL NOT NULL  ,</v>
      </c>
      <c r="AC8" s="1" t="str">
        <f>"AS "&amp;LOWER(D8)&amp;","</f>
        <v>AS pa_unique_id,</v>
      </c>
    </row>
    <row r="9" spans="1:29" ht="33">
      <c r="A9" s="2">
        <v>2</v>
      </c>
      <c r="B9" s="2" t="s">
        <v>164</v>
      </c>
      <c r="C9" s="2" t="s">
        <v>258</v>
      </c>
      <c r="D9" s="48" t="s">
        <v>181</v>
      </c>
      <c r="E9" s="3" t="s">
        <v>182</v>
      </c>
      <c r="F9" s="3" t="s">
        <v>259</v>
      </c>
      <c r="G9" s="2" t="s">
        <v>168</v>
      </c>
      <c r="H9" s="2" t="s">
        <v>208</v>
      </c>
      <c r="I9" s="28" t="s">
        <v>209</v>
      </c>
      <c r="J9" s="2" t="s">
        <v>171</v>
      </c>
      <c r="K9" s="2" t="s">
        <v>172</v>
      </c>
      <c r="L9" s="3" t="s">
        <v>173</v>
      </c>
      <c r="M9" s="3" t="s">
        <v>179</v>
      </c>
      <c r="N9" s="2"/>
      <c r="O9" s="2"/>
      <c r="P9" s="2"/>
      <c r="Q9" s="2"/>
      <c r="R9" s="2"/>
      <c r="U9" s="1" t="str">
        <f t="shared" si="0"/>
        <v>PATIENT_ID VARCHAR(64) NOT NULL  ,</v>
      </c>
      <c r="AC9" s="1" t="str">
        <f t="shared" ref="AC9:AC14" si="1">"AS "&amp;LOWER(D9)&amp;","</f>
        <v>AS patient_id,</v>
      </c>
    </row>
    <row r="10" spans="1:29" ht="33">
      <c r="A10" s="2">
        <v>3</v>
      </c>
      <c r="B10" s="2" t="s">
        <v>164</v>
      </c>
      <c r="C10" s="2" t="s">
        <v>258</v>
      </c>
      <c r="D10" s="2" t="s">
        <v>260</v>
      </c>
      <c r="E10" s="3" t="s">
        <v>261</v>
      </c>
      <c r="F10" s="3" t="s">
        <v>262</v>
      </c>
      <c r="G10" s="2" t="s">
        <v>217</v>
      </c>
      <c r="H10" s="2" t="s">
        <v>208</v>
      </c>
      <c r="I10" s="31" t="s">
        <v>263</v>
      </c>
      <c r="J10" s="2" t="s">
        <v>189</v>
      </c>
      <c r="K10" s="3" t="s">
        <v>190</v>
      </c>
      <c r="L10" s="3" t="s">
        <v>173</v>
      </c>
      <c r="M10" s="3"/>
      <c r="N10" s="3" t="s">
        <v>264</v>
      </c>
      <c r="O10" s="3"/>
      <c r="P10" s="3"/>
      <c r="Q10" s="2"/>
      <c r="R10" s="2"/>
      <c r="U10" s="1" t="str">
        <f t="shared" si="0"/>
        <v>PA_START_DATE VARCHAR(8) NOT NULL  ,</v>
      </c>
      <c r="AC10" s="1" t="str">
        <f t="shared" si="1"/>
        <v>AS pa_start_date,</v>
      </c>
    </row>
    <row r="11" spans="1:29" ht="33">
      <c r="A11" s="2">
        <v>4</v>
      </c>
      <c r="B11" s="2"/>
      <c r="C11" s="2"/>
      <c r="D11" s="3" t="s">
        <v>265</v>
      </c>
      <c r="E11" s="3" t="s">
        <v>266</v>
      </c>
      <c r="F11" s="3" t="s">
        <v>267</v>
      </c>
      <c r="G11" s="2" t="s">
        <v>217</v>
      </c>
      <c r="H11" s="2"/>
      <c r="I11" s="31" t="s">
        <v>268</v>
      </c>
      <c r="J11" s="2" t="s">
        <v>269</v>
      </c>
      <c r="K11" s="2" t="s">
        <v>269</v>
      </c>
      <c r="L11" s="2" t="s">
        <v>210</v>
      </c>
      <c r="M11" s="3"/>
      <c r="N11" s="3" t="s">
        <v>270</v>
      </c>
      <c r="O11" s="3"/>
      <c r="P11" s="3"/>
      <c r="Q11" s="2"/>
      <c r="R11" s="2"/>
      <c r="U11" s="1" t="str">
        <f t="shared" si="0"/>
        <v>PA_END_DATE VARCHAR(8)   ,</v>
      </c>
      <c r="AC11" s="1" t="str">
        <f t="shared" si="1"/>
        <v>AS pa_end_date,</v>
      </c>
    </row>
    <row r="12" spans="1:29" ht="33">
      <c r="A12" s="43">
        <v>5</v>
      </c>
      <c r="B12" s="43" t="s">
        <v>164</v>
      </c>
      <c r="C12" s="43" t="s">
        <v>180</v>
      </c>
      <c r="D12" s="43" t="s">
        <v>271</v>
      </c>
      <c r="E12" s="44" t="s">
        <v>272</v>
      </c>
      <c r="F12" s="44" t="s">
        <v>273</v>
      </c>
      <c r="G12" s="43" t="s">
        <v>217</v>
      </c>
      <c r="H12" s="43" t="s">
        <v>208</v>
      </c>
      <c r="I12" s="45" t="s">
        <v>274</v>
      </c>
      <c r="J12" s="43" t="s">
        <v>275</v>
      </c>
      <c r="K12" s="43" t="s">
        <v>276</v>
      </c>
      <c r="L12" s="44" t="s">
        <v>277</v>
      </c>
      <c r="M12" s="44" t="s">
        <v>179</v>
      </c>
      <c r="N12" s="44"/>
      <c r="O12" s="44"/>
      <c r="P12" s="44"/>
      <c r="Q12" s="43" t="s">
        <v>986</v>
      </c>
      <c r="R12" s="43"/>
      <c r="U12" s="1" t="str">
        <f t="shared" si="0"/>
        <v>POSTAL_CD VARCHAR(8) NOT NULL  ,</v>
      </c>
      <c r="AC12" s="1" t="str">
        <f t="shared" si="1"/>
        <v>AS postal_cd,</v>
      </c>
    </row>
    <row r="13" spans="1:29">
      <c r="A13" s="2">
        <v>6</v>
      </c>
      <c r="B13" s="2"/>
      <c r="C13" s="2"/>
      <c r="D13" s="3" t="s">
        <v>184</v>
      </c>
      <c r="E13" s="3" t="s">
        <v>185</v>
      </c>
      <c r="F13" s="3" t="s">
        <v>278</v>
      </c>
      <c r="G13" s="2" t="s">
        <v>187</v>
      </c>
      <c r="H13" s="2" t="s">
        <v>208</v>
      </c>
      <c r="I13" s="2" t="s">
        <v>188</v>
      </c>
      <c r="J13" s="2" t="s">
        <v>189</v>
      </c>
      <c r="K13" s="3" t="s">
        <v>190</v>
      </c>
      <c r="L13" s="3" t="s">
        <v>173</v>
      </c>
      <c r="M13" s="3"/>
      <c r="N13" s="3" t="s">
        <v>191</v>
      </c>
      <c r="O13" s="2"/>
      <c r="P13" s="2"/>
      <c r="Q13" s="2"/>
      <c r="R13" s="2"/>
      <c r="U13" s="1" t="str">
        <f t="shared" si="0"/>
        <v>DATA_UPDATE_DATE VARCHAR(16) NOT NULL  ,</v>
      </c>
      <c r="AC13" s="1" t="str">
        <f t="shared" si="1"/>
        <v>AS data_update_date,</v>
      </c>
    </row>
    <row r="14" spans="1:29">
      <c r="A14" s="2">
        <v>7</v>
      </c>
      <c r="B14" s="2"/>
      <c r="C14" s="2"/>
      <c r="D14" s="2" t="s">
        <v>192</v>
      </c>
      <c r="E14" s="3" t="s">
        <v>193</v>
      </c>
      <c r="F14" s="3" t="s">
        <v>279</v>
      </c>
      <c r="G14" s="2" t="s">
        <v>195</v>
      </c>
      <c r="H14" s="2" t="s">
        <v>208</v>
      </c>
      <c r="I14" s="2" t="s">
        <v>196</v>
      </c>
      <c r="J14" s="2" t="s">
        <v>210</v>
      </c>
      <c r="K14" s="2" t="s">
        <v>210</v>
      </c>
      <c r="L14" s="2" t="s">
        <v>210</v>
      </c>
      <c r="M14" s="3"/>
      <c r="N14" s="3"/>
      <c r="O14" s="3"/>
      <c r="P14" s="3"/>
      <c r="Q14" s="2"/>
      <c r="R14" s="2"/>
      <c r="U14" s="1" t="str">
        <f t="shared" si="0"/>
        <v xml:space="preserve">TS_TABLE_UPDATE TIMESTAMP NOT NULL </v>
      </c>
      <c r="AC14" s="1" t="str">
        <f t="shared" si="1"/>
        <v>AS ts_table_update,</v>
      </c>
    </row>
    <row r="15" spans="1:29">
      <c r="F15" s="21"/>
      <c r="T15" s="1" t="s">
        <v>978</v>
      </c>
      <c r="U15" s="1" t="str">
        <f t="shared" si="0"/>
        <v xml:space="preserve">   </v>
      </c>
    </row>
    <row r="16" spans="1:29">
      <c r="F16" s="21"/>
    </row>
    <row r="17" spans="6:6">
      <c r="F17" s="21"/>
    </row>
    <row r="18" spans="6:6">
      <c r="F18" s="21"/>
    </row>
    <row r="19" spans="6:6">
      <c r="F19" s="21"/>
    </row>
    <row r="20" spans="6:6">
      <c r="F20" s="21"/>
    </row>
    <row r="21" spans="6:6">
      <c r="F21" s="21"/>
    </row>
    <row r="22" spans="6:6">
      <c r="F22" s="21"/>
    </row>
    <row r="23" spans="6:6">
      <c r="F23" s="21"/>
    </row>
    <row r="24" spans="6:6">
      <c r="F24" s="21"/>
    </row>
    <row r="25" spans="6:6">
      <c r="F25" s="21"/>
    </row>
    <row r="26" spans="6:6">
      <c r="F26" s="21"/>
    </row>
    <row r="27" spans="6:6">
      <c r="F27" s="21"/>
    </row>
    <row r="28" spans="6:6">
      <c r="F28" s="21"/>
    </row>
    <row r="29" spans="6:6">
      <c r="F29" s="21"/>
    </row>
    <row r="30" spans="6:6">
      <c r="F30" s="21"/>
    </row>
    <row r="31" spans="6:6">
      <c r="F31" s="21"/>
    </row>
    <row r="32" spans="6:6">
      <c r="F32" s="21"/>
    </row>
    <row r="33" spans="6:6">
      <c r="F33" s="21"/>
    </row>
    <row r="34" spans="6:6">
      <c r="F34" s="21"/>
    </row>
    <row r="35" spans="6:6">
      <c r="F35" s="21"/>
    </row>
    <row r="36" spans="6:6">
      <c r="F36" s="21"/>
    </row>
    <row r="37" spans="6:6">
      <c r="F37" s="21"/>
    </row>
    <row r="38" spans="6:6">
      <c r="F38" s="21"/>
    </row>
    <row r="39" spans="6:6">
      <c r="F39" s="21"/>
    </row>
    <row r="40" spans="6:6">
      <c r="F40" s="21"/>
    </row>
    <row r="41" spans="6:6">
      <c r="F41" s="21"/>
    </row>
    <row r="42" spans="6:6">
      <c r="F42" s="21"/>
    </row>
    <row r="43" spans="6:6">
      <c r="F43" s="21"/>
    </row>
  </sheetData>
  <phoneticPr fontId="5"/>
  <pageMargins left="0.23622047244094491" right="0.23622047244094491" top="0.55118110236220474" bottom="0.55118110236220474" header="0.31496062992125984" footer="0.31496062992125984"/>
  <pageSetup paperSize="9" scale="66" orientation="landscape" horizontalDpi="1200" verticalDpi="1200" r:id="rId1"/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45AC-1F02-4E79-A469-23DCABA4D106}">
  <sheetPr codeName="Sheet11"/>
  <dimension ref="A1:AC40"/>
  <sheetViews>
    <sheetView zoomScale="80" zoomScaleNormal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ColWidth="8.85546875" defaultRowHeight="16.5"/>
  <cols>
    <col min="1" max="1" width="6.140625" style="1" customWidth="1"/>
    <col min="2" max="3" width="9.28515625" style="1" customWidth="1"/>
    <col min="4" max="4" width="33.5703125" style="1" customWidth="1"/>
    <col min="5" max="5" width="24.140625" style="21" bestFit="1" customWidth="1"/>
    <col min="6" max="6" width="55.140625" style="1" customWidth="1"/>
    <col min="7" max="7" width="15.28515625" style="1" bestFit="1" customWidth="1"/>
    <col min="8" max="8" width="13.28515625" style="1" bestFit="1" customWidth="1"/>
    <col min="9" max="9" width="20.85546875" style="1" customWidth="1"/>
    <col min="10" max="10" width="8.85546875" style="1"/>
    <col min="11" max="11" width="10" style="1" customWidth="1"/>
    <col min="12" max="12" width="5.7109375" style="1" bestFit="1" customWidth="1"/>
    <col min="13" max="13" width="14.140625" style="21" customWidth="1"/>
    <col min="14" max="14" width="46" style="1" customWidth="1"/>
    <col min="15" max="15" width="13.85546875" style="1" customWidth="1"/>
    <col min="16" max="16" width="46.140625" style="1" customWidth="1"/>
    <col min="17" max="17" width="42.85546875" style="1" bestFit="1" customWidth="1"/>
    <col min="18" max="18" width="36.5703125" style="1" bestFit="1" customWidth="1"/>
    <col min="19" max="19" width="13" style="1" bestFit="1" customWidth="1"/>
    <col min="20" max="25" width="8.85546875" style="1"/>
    <col min="26" max="26" width="17.5703125" style="1" bestFit="1" customWidth="1"/>
    <col min="27" max="27" width="3.42578125" style="1" bestFit="1" customWidth="1"/>
    <col min="28" max="16384" width="8.85546875" style="1"/>
  </cols>
  <sheetData>
    <row r="1" spans="1:29">
      <c r="A1" s="15" t="s">
        <v>151</v>
      </c>
      <c r="B1" s="16"/>
      <c r="C1" s="13">
        <v>4</v>
      </c>
      <c r="D1" s="9"/>
      <c r="E1" s="22" t="s">
        <v>152</v>
      </c>
      <c r="F1" s="17" t="s">
        <v>280</v>
      </c>
      <c r="G1" s="14"/>
      <c r="H1" s="14"/>
      <c r="I1" s="14"/>
      <c r="J1" s="14"/>
      <c r="K1" s="14"/>
      <c r="L1" s="14"/>
      <c r="M1" s="14"/>
      <c r="N1" s="14"/>
      <c r="O1" s="9"/>
      <c r="P1" s="9"/>
    </row>
    <row r="2" spans="1:29">
      <c r="A2" s="15" t="s">
        <v>154</v>
      </c>
      <c r="B2" s="16"/>
      <c r="C2" s="13"/>
      <c r="D2" s="34">
        <v>45190</v>
      </c>
      <c r="E2" s="23" t="s">
        <v>155</v>
      </c>
      <c r="F2" s="10" t="s">
        <v>281</v>
      </c>
      <c r="G2" s="11"/>
      <c r="H2" s="11"/>
      <c r="I2" s="11"/>
      <c r="J2" s="11"/>
      <c r="K2" s="11"/>
      <c r="M2" s="11"/>
      <c r="N2" s="11"/>
      <c r="O2" s="4"/>
      <c r="P2" s="4"/>
    </row>
    <row r="3" spans="1:29">
      <c r="A3" s="15" t="s">
        <v>157</v>
      </c>
      <c r="B3" s="16"/>
      <c r="C3" s="13"/>
      <c r="D3" s="34">
        <v>45519</v>
      </c>
      <c r="E3" s="24"/>
      <c r="F3" s="5" t="s">
        <v>282</v>
      </c>
      <c r="M3" s="1"/>
      <c r="O3" s="6"/>
      <c r="P3" s="6"/>
    </row>
    <row r="4" spans="1:29">
      <c r="A4" s="15" t="s">
        <v>159</v>
      </c>
      <c r="B4" s="16"/>
      <c r="C4" s="13"/>
      <c r="D4" s="9"/>
      <c r="E4" s="24"/>
      <c r="F4" s="5"/>
      <c r="M4" s="1"/>
      <c r="O4" s="6"/>
      <c r="P4" s="6"/>
    </row>
    <row r="5" spans="1:29">
      <c r="A5" s="15" t="s">
        <v>161</v>
      </c>
      <c r="B5" s="16"/>
      <c r="C5" s="13"/>
      <c r="D5" s="9"/>
      <c r="E5" s="25"/>
      <c r="F5" s="7"/>
      <c r="G5" s="12"/>
      <c r="H5" s="12"/>
      <c r="I5" s="12"/>
      <c r="J5" s="12"/>
      <c r="K5" s="12"/>
      <c r="L5" s="12"/>
      <c r="M5" s="12"/>
      <c r="N5" s="12"/>
      <c r="O5" s="8"/>
      <c r="P5" s="8"/>
    </row>
    <row r="6" spans="1:29">
      <c r="E6" s="1"/>
      <c r="M6" s="1"/>
      <c r="O6" s="12"/>
      <c r="P6" s="8"/>
    </row>
    <row r="7" spans="1:29">
      <c r="A7" s="15" t="s">
        <v>13</v>
      </c>
      <c r="B7" s="15" t="s">
        <v>37</v>
      </c>
      <c r="C7" s="15" t="s">
        <v>40</v>
      </c>
      <c r="D7" s="15" t="s">
        <v>43</v>
      </c>
      <c r="E7" s="20" t="s">
        <v>46</v>
      </c>
      <c r="F7" s="15" t="s">
        <v>48</v>
      </c>
      <c r="G7" s="15" t="s">
        <v>50</v>
      </c>
      <c r="H7" s="15" t="s">
        <v>52</v>
      </c>
      <c r="I7" s="15" t="s">
        <v>54</v>
      </c>
      <c r="J7" s="15" t="s">
        <v>57</v>
      </c>
      <c r="K7" s="20" t="s">
        <v>59</v>
      </c>
      <c r="L7" s="20" t="s">
        <v>61</v>
      </c>
      <c r="M7" s="20" t="s">
        <v>163</v>
      </c>
      <c r="N7" s="15" t="s">
        <v>65</v>
      </c>
      <c r="O7" s="30" t="s">
        <v>67</v>
      </c>
      <c r="P7" s="30" t="s">
        <v>69</v>
      </c>
      <c r="Q7" s="42" t="s">
        <v>979</v>
      </c>
      <c r="R7" s="42" t="s">
        <v>980</v>
      </c>
      <c r="T7" s="1" t="s">
        <v>987</v>
      </c>
      <c r="Z7" s="1" t="s">
        <v>1022</v>
      </c>
    </row>
    <row r="8" spans="1:29">
      <c r="A8" s="2">
        <v>1</v>
      </c>
      <c r="B8" s="2" t="s">
        <v>203</v>
      </c>
      <c r="C8" s="2"/>
      <c r="D8" s="2" t="s">
        <v>283</v>
      </c>
      <c r="E8" s="3" t="s">
        <v>256</v>
      </c>
      <c r="F8" s="3" t="s">
        <v>284</v>
      </c>
      <c r="G8" s="2" t="s">
        <v>207</v>
      </c>
      <c r="H8" s="2" t="s">
        <v>169</v>
      </c>
      <c r="I8" s="28" t="s">
        <v>170</v>
      </c>
      <c r="J8" s="2" t="s">
        <v>178</v>
      </c>
      <c r="K8" s="2" t="s">
        <v>178</v>
      </c>
      <c r="L8" s="2" t="s">
        <v>178</v>
      </c>
      <c r="M8" s="3"/>
      <c r="N8" s="3"/>
      <c r="O8" s="3"/>
      <c r="P8" s="3"/>
      <c r="Q8" s="2"/>
      <c r="R8" s="2"/>
      <c r="U8" s="1" t="str">
        <f t="shared" ref="U8:U27" si="0">D8&amp;" "&amp;G8&amp; " " &amp; H8&amp;" "  &amp; IF(G9="",""," ,")</f>
        <v>PV_UNIQUE_ID SERIAL NOT NULL  ,</v>
      </c>
      <c r="Z8" s="1" t="s">
        <v>1093</v>
      </c>
      <c r="AA8" s="1" t="str">
        <f>IF(Z8=D8,"○","×")</f>
        <v>○</v>
      </c>
      <c r="AC8" s="1" t="str">
        <f>LOWER(D8)&amp;" AS "&amp;LOWER(D8)&amp;","</f>
        <v>pv_unique_id AS pv_unique_id,</v>
      </c>
    </row>
    <row r="9" spans="1:29" ht="33">
      <c r="A9" s="43">
        <v>2</v>
      </c>
      <c r="B9" s="43" t="s">
        <v>135</v>
      </c>
      <c r="C9" s="43" t="s">
        <v>180</v>
      </c>
      <c r="D9" s="47" t="s">
        <v>212</v>
      </c>
      <c r="E9" s="44" t="s">
        <v>182</v>
      </c>
      <c r="F9" s="44" t="s">
        <v>285</v>
      </c>
      <c r="G9" s="43" t="s">
        <v>168</v>
      </c>
      <c r="H9" s="43" t="s">
        <v>169</v>
      </c>
      <c r="I9" s="45"/>
      <c r="J9" s="43" t="s">
        <v>171</v>
      </c>
      <c r="K9" s="43" t="s">
        <v>172</v>
      </c>
      <c r="L9" s="44" t="s">
        <v>173</v>
      </c>
      <c r="M9" s="44" t="s">
        <v>179</v>
      </c>
      <c r="N9" s="44"/>
      <c r="O9" s="44"/>
      <c r="P9" s="44"/>
      <c r="Q9" s="43" t="s">
        <v>988</v>
      </c>
      <c r="R9" s="43"/>
      <c r="U9" s="1" t="str">
        <f t="shared" si="0"/>
        <v>PATIENT_ID VARCHAR(64) NOT NULL  ,</v>
      </c>
      <c r="Z9" s="1" t="s">
        <v>997</v>
      </c>
      <c r="AA9" s="1" t="str">
        <f>IF(Z9=D9,"○","×")</f>
        <v>×</v>
      </c>
      <c r="AC9" s="1" t="str">
        <f t="shared" ref="AC9:AC28" si="1">LOWER(D9)&amp;" AS "&amp;LOWER(D9)&amp;","</f>
        <v>patient_id AS patient_id,</v>
      </c>
    </row>
    <row r="10" spans="1:29" ht="115.5">
      <c r="A10" s="43">
        <v>3</v>
      </c>
      <c r="B10" s="43" t="s">
        <v>135</v>
      </c>
      <c r="C10" s="43" t="s">
        <v>180</v>
      </c>
      <c r="D10" s="43" t="s">
        <v>286</v>
      </c>
      <c r="E10" s="44" t="s">
        <v>287</v>
      </c>
      <c r="F10" s="44" t="s">
        <v>288</v>
      </c>
      <c r="G10" s="43" t="s">
        <v>289</v>
      </c>
      <c r="H10" s="43" t="s">
        <v>169</v>
      </c>
      <c r="I10" s="45" t="s">
        <v>170</v>
      </c>
      <c r="J10" s="43" t="s">
        <v>290</v>
      </c>
      <c r="K10" s="44" t="s">
        <v>291</v>
      </c>
      <c r="L10" s="44" t="s">
        <v>173</v>
      </c>
      <c r="M10" s="44" t="s">
        <v>292</v>
      </c>
      <c r="N10" s="44" t="s">
        <v>293</v>
      </c>
      <c r="O10" s="44"/>
      <c r="P10" s="44"/>
      <c r="Q10" s="44" t="s">
        <v>1126</v>
      </c>
      <c r="R10" s="43" t="s">
        <v>989</v>
      </c>
      <c r="U10" s="1" t="str">
        <f t="shared" si="0"/>
        <v>PV_ADTSEGMENT TEXT NOT NULL  ,</v>
      </c>
      <c r="Z10" s="1" t="s">
        <v>1094</v>
      </c>
      <c r="AA10" s="1" t="str">
        <f t="shared" ref="AA10:AA12" si="2">IF(Z10=D10,"○","×")</f>
        <v>○</v>
      </c>
      <c r="AC10" s="1" t="str">
        <f t="shared" si="1"/>
        <v>pv_adtsegment AS pv_adtsegment,</v>
      </c>
    </row>
    <row r="11" spans="1:29" ht="33">
      <c r="A11" s="43">
        <v>4</v>
      </c>
      <c r="B11" s="43"/>
      <c r="C11" s="43"/>
      <c r="D11" s="51" t="s">
        <v>294</v>
      </c>
      <c r="E11" s="51" t="s">
        <v>295</v>
      </c>
      <c r="F11" s="51" t="s">
        <v>296</v>
      </c>
      <c r="G11" s="47" t="s">
        <v>217</v>
      </c>
      <c r="H11" s="43"/>
      <c r="I11" s="45"/>
      <c r="J11" s="43" t="s">
        <v>178</v>
      </c>
      <c r="K11" s="43" t="s">
        <v>178</v>
      </c>
      <c r="L11" s="43" t="s">
        <v>178</v>
      </c>
      <c r="M11" s="44"/>
      <c r="N11" s="44" t="s">
        <v>297</v>
      </c>
      <c r="O11" s="44"/>
      <c r="P11" s="44"/>
      <c r="Q11" s="44" t="s">
        <v>1127</v>
      </c>
      <c r="R11" s="43"/>
      <c r="U11" s="1" t="str">
        <f t="shared" si="0"/>
        <v>DEPT_CD_S VARCHAR(8)   ,</v>
      </c>
      <c r="AA11" s="1" t="str">
        <f t="shared" si="2"/>
        <v>×</v>
      </c>
      <c r="AC11" s="1" t="str">
        <f t="shared" si="1"/>
        <v>dept_cd_s AS dept_cd_s,</v>
      </c>
    </row>
    <row r="12" spans="1:29">
      <c r="A12" s="2">
        <v>5</v>
      </c>
      <c r="B12" s="2"/>
      <c r="C12" s="2"/>
      <c r="D12" s="3" t="s">
        <v>298</v>
      </c>
      <c r="E12" s="3" t="s">
        <v>299</v>
      </c>
      <c r="F12" s="3" t="s">
        <v>300</v>
      </c>
      <c r="G12" s="2" t="s">
        <v>289</v>
      </c>
      <c r="H12" s="2"/>
      <c r="I12" s="28"/>
      <c r="J12" s="2" t="s">
        <v>301</v>
      </c>
      <c r="K12" s="3" t="s">
        <v>302</v>
      </c>
      <c r="L12" s="3" t="s">
        <v>303</v>
      </c>
      <c r="M12" s="3"/>
      <c r="N12" s="3"/>
      <c r="O12" s="3"/>
      <c r="P12" s="3"/>
      <c r="Q12" s="2"/>
      <c r="R12" s="2"/>
      <c r="U12" s="1" t="str">
        <f t="shared" si="0"/>
        <v>DEPT_CD_L TEXT   ,</v>
      </c>
      <c r="Z12" s="1" t="s">
        <v>998</v>
      </c>
      <c r="AA12" s="1" t="str">
        <f t="shared" si="2"/>
        <v>○</v>
      </c>
      <c r="AC12" s="1" t="str">
        <f t="shared" si="1"/>
        <v>dept_cd_l AS dept_cd_l,</v>
      </c>
    </row>
    <row r="13" spans="1:29" ht="49.5">
      <c r="A13" s="43">
        <v>6</v>
      </c>
      <c r="B13" s="43"/>
      <c r="C13" s="43"/>
      <c r="D13" s="44" t="s">
        <v>304</v>
      </c>
      <c r="E13" s="44" t="s">
        <v>305</v>
      </c>
      <c r="F13" s="44" t="s">
        <v>306</v>
      </c>
      <c r="G13" s="43" t="s">
        <v>217</v>
      </c>
      <c r="H13" s="43"/>
      <c r="I13" s="43"/>
      <c r="J13" s="43" t="s">
        <v>307</v>
      </c>
      <c r="K13" s="44" t="s">
        <v>308</v>
      </c>
      <c r="L13" s="44" t="s">
        <v>277</v>
      </c>
      <c r="M13" s="44" t="s">
        <v>309</v>
      </c>
      <c r="N13" s="44" t="s">
        <v>230</v>
      </c>
      <c r="O13" s="44"/>
      <c r="P13" s="44"/>
      <c r="Q13" s="43" t="s">
        <v>990</v>
      </c>
      <c r="R13" s="43"/>
      <c r="U13" s="1" t="str">
        <f t="shared" si="0"/>
        <v>PV_ADMIT_DATE VARCHAR(8)   ,</v>
      </c>
      <c r="Z13" s="1" t="s">
        <v>1095</v>
      </c>
      <c r="AA13" s="1" t="str">
        <f t="shared" ref="AA13:AA28" si="3">IF(Z13=D13,"○","×")</f>
        <v>○</v>
      </c>
      <c r="AC13" s="1" t="str">
        <f t="shared" si="1"/>
        <v>pv_admit_date AS pv_admit_date,</v>
      </c>
    </row>
    <row r="14" spans="1:29" ht="33">
      <c r="A14" s="43">
        <v>7</v>
      </c>
      <c r="B14" s="43"/>
      <c r="C14" s="43"/>
      <c r="D14" s="44" t="s">
        <v>310</v>
      </c>
      <c r="E14" s="44" t="s">
        <v>311</v>
      </c>
      <c r="F14" s="44" t="s">
        <v>312</v>
      </c>
      <c r="G14" s="43" t="s">
        <v>217</v>
      </c>
      <c r="H14" s="43"/>
      <c r="I14" s="45"/>
      <c r="J14" s="43" t="s">
        <v>307</v>
      </c>
      <c r="K14" s="44" t="s">
        <v>308</v>
      </c>
      <c r="L14" s="44" t="s">
        <v>277</v>
      </c>
      <c r="M14" s="44" t="s">
        <v>313</v>
      </c>
      <c r="N14" s="44" t="s">
        <v>314</v>
      </c>
      <c r="O14" s="44"/>
      <c r="P14" s="44"/>
      <c r="Q14" s="43" t="s">
        <v>991</v>
      </c>
      <c r="R14" s="43"/>
      <c r="U14" s="1" t="str">
        <f t="shared" si="0"/>
        <v>PV_ADMIT_TIME VARCHAR(8)   ,</v>
      </c>
      <c r="Z14" s="1" t="s">
        <v>1096</v>
      </c>
      <c r="AA14" s="1" t="str">
        <f t="shared" si="3"/>
        <v>○</v>
      </c>
      <c r="AC14" s="1" t="str">
        <f t="shared" si="1"/>
        <v>pv_admit_time AS pv_admit_time,</v>
      </c>
    </row>
    <row r="15" spans="1:29" ht="99">
      <c r="A15" s="43">
        <v>8</v>
      </c>
      <c r="B15" s="43"/>
      <c r="C15" s="43"/>
      <c r="D15" s="43" t="s">
        <v>315</v>
      </c>
      <c r="E15" s="44" t="s">
        <v>316</v>
      </c>
      <c r="F15" s="44" t="s">
        <v>317</v>
      </c>
      <c r="G15" s="43" t="s">
        <v>217</v>
      </c>
      <c r="H15" s="43"/>
      <c r="I15" s="43"/>
      <c r="J15" s="43" t="s">
        <v>318</v>
      </c>
      <c r="K15" s="44" t="s">
        <v>319</v>
      </c>
      <c r="L15" s="44" t="s">
        <v>277</v>
      </c>
      <c r="M15" s="46" t="s">
        <v>320</v>
      </c>
      <c r="N15" s="44" t="s">
        <v>230</v>
      </c>
      <c r="O15" s="44"/>
      <c r="P15" s="44"/>
      <c r="Q15" s="44" t="s">
        <v>1153</v>
      </c>
      <c r="R15" s="43"/>
      <c r="U15" s="1" t="str">
        <f t="shared" si="0"/>
        <v>PV_DISCHARGE_DATE VARCHAR(8)   ,</v>
      </c>
      <c r="Z15" s="1" t="s">
        <v>1097</v>
      </c>
      <c r="AA15" s="1" t="str">
        <f t="shared" si="3"/>
        <v>○</v>
      </c>
      <c r="AC15" s="1" t="str">
        <f t="shared" si="1"/>
        <v>pv_discharge_date AS pv_discharge_date,</v>
      </c>
    </row>
    <row r="16" spans="1:29" ht="66">
      <c r="A16" s="43">
        <v>9</v>
      </c>
      <c r="B16" s="43"/>
      <c r="C16" s="43"/>
      <c r="D16" s="43" t="s">
        <v>321</v>
      </c>
      <c r="E16" s="44" t="s">
        <v>322</v>
      </c>
      <c r="F16" s="44" t="s">
        <v>323</v>
      </c>
      <c r="G16" s="43" t="s">
        <v>217</v>
      </c>
      <c r="H16" s="43"/>
      <c r="I16" s="45"/>
      <c r="J16" s="43" t="s">
        <v>318</v>
      </c>
      <c r="K16" s="44" t="s">
        <v>319</v>
      </c>
      <c r="L16" s="44" t="s">
        <v>277</v>
      </c>
      <c r="M16" s="46" t="s">
        <v>324</v>
      </c>
      <c r="N16" s="44" t="s">
        <v>314</v>
      </c>
      <c r="O16" s="44"/>
      <c r="P16" s="44"/>
      <c r="Q16" s="44" t="s">
        <v>1154</v>
      </c>
      <c r="R16" s="43"/>
      <c r="U16" s="1" t="str">
        <f t="shared" si="0"/>
        <v>PV_DISCHARGE_TIME VARCHAR(8)   ,</v>
      </c>
      <c r="Z16" s="1" t="s">
        <v>1098</v>
      </c>
      <c r="AA16" s="1" t="str">
        <f t="shared" si="3"/>
        <v>○</v>
      </c>
      <c r="AC16" s="1" t="str">
        <f t="shared" si="1"/>
        <v>pv_discharge_time AS pv_discharge_time,</v>
      </c>
    </row>
    <row r="17" spans="1:29" ht="82.5">
      <c r="A17" s="43">
        <v>10</v>
      </c>
      <c r="B17" s="43"/>
      <c r="C17" s="43"/>
      <c r="D17" s="43" t="s">
        <v>325</v>
      </c>
      <c r="E17" s="44" t="s">
        <v>326</v>
      </c>
      <c r="F17" s="44" t="s">
        <v>327</v>
      </c>
      <c r="G17" s="43" t="s">
        <v>289</v>
      </c>
      <c r="H17" s="43"/>
      <c r="I17" s="45"/>
      <c r="J17" s="43" t="s">
        <v>328</v>
      </c>
      <c r="K17" s="44" t="s">
        <v>329</v>
      </c>
      <c r="L17" s="44" t="s">
        <v>277</v>
      </c>
      <c r="M17" s="44" t="s">
        <v>330</v>
      </c>
      <c r="N17" s="44" t="s">
        <v>331</v>
      </c>
      <c r="O17" s="44"/>
      <c r="P17" s="44"/>
      <c r="Q17" s="44" t="s">
        <v>1152</v>
      </c>
      <c r="R17" s="43"/>
      <c r="U17" s="1" t="str">
        <f t="shared" si="0"/>
        <v>PV_DISCHARGE_CD_L TEXT   ,</v>
      </c>
      <c r="Z17" s="1" t="s">
        <v>1099</v>
      </c>
      <c r="AA17" s="1" t="str">
        <f t="shared" si="3"/>
        <v>○</v>
      </c>
      <c r="AC17" s="1" t="str">
        <f t="shared" si="1"/>
        <v>pv_discharge_cd_l AS pv_discharge_cd_l,</v>
      </c>
    </row>
    <row r="18" spans="1:29" ht="33">
      <c r="A18" s="43">
        <v>11</v>
      </c>
      <c r="B18" s="43"/>
      <c r="C18" s="43"/>
      <c r="D18" s="43" t="s">
        <v>332</v>
      </c>
      <c r="E18" s="44" t="s">
        <v>333</v>
      </c>
      <c r="F18" s="44" t="s">
        <v>334</v>
      </c>
      <c r="G18" s="43" t="s">
        <v>217</v>
      </c>
      <c r="H18" s="43"/>
      <c r="I18" s="45"/>
      <c r="J18" s="43" t="s">
        <v>335</v>
      </c>
      <c r="K18" s="43" t="s">
        <v>336</v>
      </c>
      <c r="L18" s="44" t="s">
        <v>303</v>
      </c>
      <c r="M18" s="46"/>
      <c r="N18" s="44" t="s">
        <v>230</v>
      </c>
      <c r="O18" s="44"/>
      <c r="P18" s="44"/>
      <c r="Q18" s="44" t="s">
        <v>1124</v>
      </c>
      <c r="R18" s="43"/>
      <c r="U18" s="1" t="str">
        <f t="shared" si="0"/>
        <v>PV_EVENT_OCCURRED_DATE VARCHAR(8)   ,</v>
      </c>
      <c r="Z18" s="1" t="s">
        <v>1100</v>
      </c>
      <c r="AA18" s="1" t="str">
        <f t="shared" si="3"/>
        <v>○</v>
      </c>
      <c r="AC18" s="1" t="str">
        <f t="shared" si="1"/>
        <v>pv_event_occurred_date AS pv_event_occurred_date,</v>
      </c>
    </row>
    <row r="19" spans="1:29" ht="33">
      <c r="A19" s="43">
        <v>12</v>
      </c>
      <c r="B19" s="43"/>
      <c r="C19" s="43"/>
      <c r="D19" s="43" t="s">
        <v>337</v>
      </c>
      <c r="E19" s="44" t="s">
        <v>338</v>
      </c>
      <c r="F19" s="44" t="s">
        <v>339</v>
      </c>
      <c r="G19" s="43" t="s">
        <v>217</v>
      </c>
      <c r="H19" s="43"/>
      <c r="I19" s="43"/>
      <c r="J19" s="43" t="s">
        <v>335</v>
      </c>
      <c r="K19" s="43" t="s">
        <v>336</v>
      </c>
      <c r="L19" s="44" t="s">
        <v>303</v>
      </c>
      <c r="M19" s="46"/>
      <c r="N19" s="44" t="s">
        <v>314</v>
      </c>
      <c r="O19" s="44"/>
      <c r="P19" s="44"/>
      <c r="Q19" s="44" t="s">
        <v>1125</v>
      </c>
      <c r="R19" s="43"/>
      <c r="U19" s="1" t="str">
        <f t="shared" si="0"/>
        <v>PV_EVENT_OCCURRED_TIME VARCHAR(8)   ,</v>
      </c>
      <c r="Z19" s="1" t="s">
        <v>1101</v>
      </c>
      <c r="AA19" s="1" t="str">
        <f t="shared" si="3"/>
        <v>○</v>
      </c>
      <c r="AC19" s="1" t="str">
        <f t="shared" si="1"/>
        <v>pv_event_occurred_time AS pv_event_occurred_time,</v>
      </c>
    </row>
    <row r="20" spans="1:29">
      <c r="A20" s="2">
        <v>13</v>
      </c>
      <c r="B20" s="2" t="s">
        <v>135</v>
      </c>
      <c r="C20" s="2" t="s">
        <v>180</v>
      </c>
      <c r="D20" s="2" t="s">
        <v>340</v>
      </c>
      <c r="E20" s="3" t="s">
        <v>341</v>
      </c>
      <c r="F20" s="3" t="s">
        <v>342</v>
      </c>
      <c r="G20" s="2" t="s">
        <v>187</v>
      </c>
      <c r="H20" s="2" t="s">
        <v>169</v>
      </c>
      <c r="I20" s="28" t="s">
        <v>188</v>
      </c>
      <c r="J20" s="2" t="s">
        <v>178</v>
      </c>
      <c r="K20" s="2" t="s">
        <v>178</v>
      </c>
      <c r="L20" s="3" t="s">
        <v>173</v>
      </c>
      <c r="M20" s="3"/>
      <c r="N20" s="3" t="s">
        <v>191</v>
      </c>
      <c r="O20" s="3"/>
      <c r="P20" s="3"/>
      <c r="Q20" s="2"/>
      <c r="R20" s="2"/>
      <c r="U20" s="1" t="str">
        <f t="shared" si="0"/>
        <v>PV_DATETIME VARCHAR(16) NOT NULL  ,</v>
      </c>
      <c r="Z20" s="1" t="s">
        <v>1102</v>
      </c>
      <c r="AA20" s="1" t="str">
        <f t="shared" si="3"/>
        <v>○</v>
      </c>
      <c r="AC20" s="1" t="str">
        <f t="shared" si="1"/>
        <v>pv_datetime AS pv_datetime,</v>
      </c>
    </row>
    <row r="21" spans="1:29" ht="33">
      <c r="A21" s="2">
        <v>14</v>
      </c>
      <c r="B21" s="2"/>
      <c r="C21" s="2" t="s">
        <v>180</v>
      </c>
      <c r="D21" s="2" t="s">
        <v>343</v>
      </c>
      <c r="E21" s="3" t="s">
        <v>344</v>
      </c>
      <c r="F21" s="3" t="s">
        <v>345</v>
      </c>
      <c r="G21" s="2" t="s">
        <v>103</v>
      </c>
      <c r="H21" s="2"/>
      <c r="I21" s="2"/>
      <c r="J21" s="2" t="s">
        <v>178</v>
      </c>
      <c r="K21" s="2" t="s">
        <v>178</v>
      </c>
      <c r="L21" s="2" t="s">
        <v>178</v>
      </c>
      <c r="M21" s="29"/>
      <c r="N21" s="3"/>
      <c r="O21" s="3"/>
      <c r="P21" s="3"/>
      <c r="Q21" s="2"/>
      <c r="R21" s="2"/>
      <c r="U21" s="1" t="str">
        <f t="shared" si="0"/>
        <v>SCH_PV_ADMIT_DATE DATE   ,</v>
      </c>
      <c r="Z21" s="1" t="s">
        <v>1103</v>
      </c>
      <c r="AA21" s="1" t="str">
        <f t="shared" si="3"/>
        <v>○</v>
      </c>
      <c r="AC21" s="1" t="str">
        <f t="shared" si="1"/>
        <v>sch_pv_admit_date AS sch_pv_admit_date,</v>
      </c>
    </row>
    <row r="22" spans="1:29" ht="33">
      <c r="A22" s="2">
        <v>15</v>
      </c>
      <c r="B22" s="2"/>
      <c r="C22" s="2" t="s">
        <v>180</v>
      </c>
      <c r="D22" s="2" t="s">
        <v>346</v>
      </c>
      <c r="E22" s="3" t="s">
        <v>347</v>
      </c>
      <c r="F22" s="3" t="s">
        <v>348</v>
      </c>
      <c r="G22" s="2" t="s">
        <v>103</v>
      </c>
      <c r="H22" s="2"/>
      <c r="I22" s="2"/>
      <c r="J22" s="2" t="s">
        <v>178</v>
      </c>
      <c r="K22" s="2" t="s">
        <v>178</v>
      </c>
      <c r="L22" s="2" t="s">
        <v>178</v>
      </c>
      <c r="M22" s="29"/>
      <c r="N22" s="3"/>
      <c r="O22" s="3"/>
      <c r="P22" s="3"/>
      <c r="Q22" s="2"/>
      <c r="R22" s="2"/>
      <c r="U22" s="1" t="str">
        <f t="shared" si="0"/>
        <v>SCH_PV_DISCHARGE_DATE DATE   ,</v>
      </c>
      <c r="Z22" s="1" t="s">
        <v>1104</v>
      </c>
      <c r="AA22" s="1" t="str">
        <f t="shared" si="3"/>
        <v>○</v>
      </c>
      <c r="AC22" s="1" t="str">
        <f t="shared" si="1"/>
        <v>sch_pv_discharge_date AS sch_pv_discharge_date,</v>
      </c>
    </row>
    <row r="23" spans="1:29" ht="33">
      <c r="A23" s="2">
        <v>16</v>
      </c>
      <c r="B23" s="2"/>
      <c r="C23" s="2" t="s">
        <v>180</v>
      </c>
      <c r="D23" s="2" t="s">
        <v>349</v>
      </c>
      <c r="E23" s="3" t="s">
        <v>350</v>
      </c>
      <c r="F23" s="3" t="s">
        <v>351</v>
      </c>
      <c r="G23" s="2" t="s">
        <v>103</v>
      </c>
      <c r="H23" s="2"/>
      <c r="I23" s="2"/>
      <c r="J23" s="2" t="s">
        <v>178</v>
      </c>
      <c r="K23" s="2" t="s">
        <v>178</v>
      </c>
      <c r="L23" s="2" t="s">
        <v>178</v>
      </c>
      <c r="M23" s="29"/>
      <c r="N23" s="3"/>
      <c r="O23" s="3"/>
      <c r="P23" s="3"/>
      <c r="Q23" s="2"/>
      <c r="R23" s="2"/>
      <c r="U23" s="1" t="str">
        <f t="shared" si="0"/>
        <v>SCH_PV_EVENT_OCCURRED_DATE DATE   ,</v>
      </c>
      <c r="Z23" s="1" t="s">
        <v>1105</v>
      </c>
      <c r="AA23" s="1" t="str">
        <f t="shared" si="3"/>
        <v>○</v>
      </c>
      <c r="AC23" s="1" t="str">
        <f t="shared" si="1"/>
        <v>sch_pv_event_occurred_date AS sch_pv_event_occurred_date,</v>
      </c>
    </row>
    <row r="24" spans="1:29" ht="49.5">
      <c r="A24" s="2">
        <v>17</v>
      </c>
      <c r="B24" s="2"/>
      <c r="C24" s="2"/>
      <c r="D24" s="2" t="s">
        <v>352</v>
      </c>
      <c r="E24" s="3" t="s">
        <v>353</v>
      </c>
      <c r="F24" s="3" t="s">
        <v>354</v>
      </c>
      <c r="G24" s="2" t="s">
        <v>355</v>
      </c>
      <c r="H24" s="2"/>
      <c r="I24" s="28" t="s">
        <v>356</v>
      </c>
      <c r="J24" s="2" t="s">
        <v>178</v>
      </c>
      <c r="K24" s="2" t="s">
        <v>178</v>
      </c>
      <c r="L24" s="2" t="s">
        <v>178</v>
      </c>
      <c r="M24" s="29"/>
      <c r="N24" s="3" t="s">
        <v>357</v>
      </c>
      <c r="O24" s="3"/>
      <c r="P24" s="3"/>
      <c r="Q24" s="2"/>
      <c r="R24" s="2"/>
      <c r="U24" s="1" t="str">
        <f t="shared" si="0"/>
        <v>PV_ADMIT_AGE INT   ,</v>
      </c>
      <c r="Z24" s="1" t="s">
        <v>1106</v>
      </c>
      <c r="AA24" s="1" t="str">
        <f t="shared" si="3"/>
        <v>○</v>
      </c>
      <c r="AC24" s="1" t="str">
        <f t="shared" si="1"/>
        <v>pv_admit_age AS pv_admit_age,</v>
      </c>
    </row>
    <row r="25" spans="1:29" ht="82.5">
      <c r="A25" s="2">
        <v>18</v>
      </c>
      <c r="B25" s="2"/>
      <c r="C25" s="2"/>
      <c r="D25" s="2" t="s">
        <v>358</v>
      </c>
      <c r="E25" s="3" t="s">
        <v>353</v>
      </c>
      <c r="F25" s="3" t="s">
        <v>359</v>
      </c>
      <c r="G25" s="2" t="s">
        <v>355</v>
      </c>
      <c r="H25" s="2"/>
      <c r="I25" s="28" t="s">
        <v>356</v>
      </c>
      <c r="J25" s="2" t="s">
        <v>178</v>
      </c>
      <c r="K25" s="2" t="s">
        <v>178</v>
      </c>
      <c r="L25" s="2" t="s">
        <v>178</v>
      </c>
      <c r="M25" s="29"/>
      <c r="N25" s="3" t="s">
        <v>360</v>
      </c>
      <c r="O25" s="3"/>
      <c r="P25" s="3"/>
      <c r="Q25" s="2"/>
      <c r="R25" s="2"/>
      <c r="U25" s="1" t="str">
        <f t="shared" si="0"/>
        <v>PV_ADMIT_MONTHS INT   ,</v>
      </c>
      <c r="Z25" s="1" t="s">
        <v>1107</v>
      </c>
      <c r="AA25" s="1" t="str">
        <f t="shared" si="3"/>
        <v>○</v>
      </c>
      <c r="AC25" s="1" t="str">
        <f t="shared" si="1"/>
        <v>pv_admit_months AS pv_admit_months,</v>
      </c>
    </row>
    <row r="26" spans="1:29" ht="82.5">
      <c r="A26" s="2">
        <v>19</v>
      </c>
      <c r="B26" s="2"/>
      <c r="C26" s="2"/>
      <c r="D26" s="2" t="s">
        <v>361</v>
      </c>
      <c r="E26" s="3" t="s">
        <v>353</v>
      </c>
      <c r="F26" s="3" t="s">
        <v>362</v>
      </c>
      <c r="G26" s="2" t="s">
        <v>355</v>
      </c>
      <c r="H26" s="2"/>
      <c r="I26" s="28" t="s">
        <v>356</v>
      </c>
      <c r="J26" s="2" t="s">
        <v>178</v>
      </c>
      <c r="K26" s="2" t="s">
        <v>178</v>
      </c>
      <c r="L26" s="2" t="s">
        <v>178</v>
      </c>
      <c r="M26" s="29"/>
      <c r="N26" s="3" t="s">
        <v>363</v>
      </c>
      <c r="O26" s="3"/>
      <c r="P26" s="3"/>
      <c r="Q26" s="2"/>
      <c r="R26" s="2"/>
      <c r="U26" s="1" t="str">
        <f t="shared" si="0"/>
        <v>PV_ADMIT_DAYS INT   ,</v>
      </c>
      <c r="Z26" s="1" t="s">
        <v>1108</v>
      </c>
      <c r="AA26" s="1" t="str">
        <f t="shared" si="3"/>
        <v>○</v>
      </c>
      <c r="AC26" s="1" t="str">
        <f t="shared" si="1"/>
        <v>pv_admit_days AS pv_admit_days,</v>
      </c>
    </row>
    <row r="27" spans="1:29">
      <c r="A27" s="2">
        <v>20</v>
      </c>
      <c r="B27" s="2"/>
      <c r="C27" s="2"/>
      <c r="D27" s="2" t="s">
        <v>184</v>
      </c>
      <c r="E27" s="3" t="s">
        <v>185</v>
      </c>
      <c r="F27" s="3" t="s">
        <v>364</v>
      </c>
      <c r="G27" s="2" t="s">
        <v>187</v>
      </c>
      <c r="H27" s="2" t="s">
        <v>169</v>
      </c>
      <c r="I27" s="28" t="s">
        <v>188</v>
      </c>
      <c r="J27" s="2" t="s">
        <v>365</v>
      </c>
      <c r="K27" s="2" t="s">
        <v>366</v>
      </c>
      <c r="L27" s="2" t="s">
        <v>173</v>
      </c>
      <c r="M27" s="29"/>
      <c r="N27" s="3" t="s">
        <v>191</v>
      </c>
      <c r="O27" s="3"/>
      <c r="P27" s="3"/>
      <c r="Q27" s="2"/>
      <c r="R27" s="2"/>
      <c r="U27" s="1" t="str">
        <f t="shared" si="0"/>
        <v>DATA_UPDATE_DATE VARCHAR(16) NOT NULL  ,</v>
      </c>
      <c r="Z27" s="1" t="s">
        <v>184</v>
      </c>
      <c r="AA27" s="1" t="str">
        <f t="shared" si="3"/>
        <v>○</v>
      </c>
      <c r="AC27" s="1" t="str">
        <f t="shared" si="1"/>
        <v>data_update_date AS data_update_date,</v>
      </c>
    </row>
    <row r="28" spans="1:29">
      <c r="A28" s="2">
        <v>21</v>
      </c>
      <c r="B28" s="2"/>
      <c r="C28" s="2"/>
      <c r="D28" s="2" t="s">
        <v>192</v>
      </c>
      <c r="E28" s="3" t="s">
        <v>193</v>
      </c>
      <c r="F28" s="3" t="s">
        <v>367</v>
      </c>
      <c r="G28" s="2" t="s">
        <v>195</v>
      </c>
      <c r="H28" s="2" t="s">
        <v>169</v>
      </c>
      <c r="I28" s="28" t="s">
        <v>196</v>
      </c>
      <c r="J28" s="2" t="s">
        <v>178</v>
      </c>
      <c r="K28" s="2" t="s">
        <v>178</v>
      </c>
      <c r="L28" s="2" t="s">
        <v>178</v>
      </c>
      <c r="M28" s="29"/>
      <c r="N28" s="3"/>
      <c r="O28" s="3"/>
      <c r="P28" s="3"/>
      <c r="Q28" s="2"/>
      <c r="R28" s="2"/>
      <c r="U28" s="1" t="str">
        <f t="shared" ref="U28" si="4">D28&amp;" "&amp;G28&amp; " " &amp; H28&amp;" "  &amp; IF(G29="",""," ,")</f>
        <v xml:space="preserve">TS_TABLE_UPDATE TIMESTAMP NOT NULL </v>
      </c>
      <c r="Z28" s="1" t="s">
        <v>1021</v>
      </c>
      <c r="AA28" s="1" t="str">
        <f t="shared" si="3"/>
        <v>○</v>
      </c>
      <c r="AC28" s="1" t="str">
        <f t="shared" si="1"/>
        <v>ts_table_update AS ts_table_update,</v>
      </c>
    </row>
    <row r="29" spans="1:29">
      <c r="F29" s="21"/>
      <c r="T29" s="1" t="s">
        <v>978</v>
      </c>
    </row>
    <row r="30" spans="1:29">
      <c r="F30" s="21"/>
    </row>
    <row r="31" spans="1:29">
      <c r="F31" s="21"/>
    </row>
    <row r="32" spans="1:29">
      <c r="F32" s="21"/>
    </row>
    <row r="33" spans="6:6">
      <c r="F33" s="21"/>
    </row>
    <row r="34" spans="6:6">
      <c r="F34" s="21"/>
    </row>
    <row r="35" spans="6:6">
      <c r="F35" s="21"/>
    </row>
    <row r="36" spans="6:6">
      <c r="F36" s="21"/>
    </row>
    <row r="37" spans="6:6">
      <c r="F37" s="21"/>
    </row>
    <row r="38" spans="6:6">
      <c r="F38" s="21"/>
    </row>
    <row r="39" spans="6:6">
      <c r="F39" s="21"/>
    </row>
    <row r="40" spans="6:6">
      <c r="F40" s="21"/>
    </row>
  </sheetData>
  <autoFilter ref="A7:U28" xr:uid="{548E45AC-1F02-4E79-A469-23DCABA4D106}"/>
  <phoneticPr fontId="4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AC53"/>
  <sheetViews>
    <sheetView zoomScale="80" zoomScaleNormal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ColWidth="8.85546875" defaultRowHeight="16.5"/>
  <cols>
    <col min="1" max="1" width="6.140625" style="1" customWidth="1"/>
    <col min="2" max="3" width="9.28515625" style="1" customWidth="1"/>
    <col min="4" max="4" width="33.5703125" style="1" customWidth="1"/>
    <col min="5" max="5" width="24.140625" style="21" bestFit="1" customWidth="1"/>
    <col min="6" max="6" width="55.140625" style="1" customWidth="1"/>
    <col min="7" max="7" width="15.28515625" style="1" bestFit="1" customWidth="1"/>
    <col min="8" max="8" width="13.28515625" style="1" bestFit="1" customWidth="1"/>
    <col min="9" max="9" width="20.85546875" style="1" customWidth="1"/>
    <col min="10" max="10" width="8.85546875" style="1"/>
    <col min="11" max="11" width="10" style="1" customWidth="1"/>
    <col min="12" max="12" width="6" style="1" bestFit="1" customWidth="1"/>
    <col min="13" max="13" width="14.140625" style="21" customWidth="1"/>
    <col min="14" max="14" width="46" style="1" customWidth="1"/>
    <col min="15" max="15" width="13.85546875" style="1" customWidth="1"/>
    <col min="16" max="16" width="46.140625" style="1" customWidth="1"/>
    <col min="17" max="17" width="28.140625" style="1" customWidth="1"/>
    <col min="18" max="18" width="34.5703125" style="1" customWidth="1"/>
    <col min="19" max="25" width="8.85546875" style="1"/>
    <col min="26" max="26" width="14.85546875" style="1" customWidth="1"/>
    <col min="27" max="16384" width="8.85546875" style="1"/>
  </cols>
  <sheetData>
    <row r="1" spans="1:29">
      <c r="A1" s="15" t="s">
        <v>151</v>
      </c>
      <c r="B1" s="16"/>
      <c r="C1" s="13">
        <v>5</v>
      </c>
      <c r="D1" s="9"/>
      <c r="E1" s="22" t="s">
        <v>152</v>
      </c>
      <c r="F1" s="17" t="s">
        <v>368</v>
      </c>
      <c r="G1" s="14"/>
      <c r="H1" s="14"/>
      <c r="I1" s="14"/>
      <c r="J1" s="14"/>
      <c r="K1" s="14"/>
      <c r="L1" s="14"/>
      <c r="M1" s="14"/>
      <c r="N1" s="14"/>
      <c r="O1" s="14"/>
      <c r="P1" s="9"/>
    </row>
    <row r="2" spans="1:29">
      <c r="A2" s="15" t="s">
        <v>154</v>
      </c>
      <c r="B2" s="16"/>
      <c r="C2" s="13"/>
      <c r="D2" s="34">
        <v>45190</v>
      </c>
      <c r="E2" s="23" t="s">
        <v>155</v>
      </c>
      <c r="F2" s="10" t="s">
        <v>369</v>
      </c>
      <c r="G2" s="11"/>
      <c r="H2" s="11"/>
      <c r="I2" s="11"/>
      <c r="J2" s="11"/>
      <c r="K2" s="11"/>
      <c r="M2" s="11"/>
      <c r="N2" s="11"/>
      <c r="O2" s="11"/>
      <c r="P2" s="4"/>
    </row>
    <row r="3" spans="1:29">
      <c r="A3" s="15" t="s">
        <v>157</v>
      </c>
      <c r="B3" s="16"/>
      <c r="C3" s="13"/>
      <c r="D3" s="34">
        <v>45519</v>
      </c>
      <c r="E3" s="24"/>
      <c r="F3" s="5" t="s">
        <v>370</v>
      </c>
      <c r="M3" s="1"/>
      <c r="P3" s="6"/>
    </row>
    <row r="4" spans="1:29">
      <c r="A4" s="15" t="s">
        <v>159</v>
      </c>
      <c r="B4" s="16"/>
      <c r="C4" s="13"/>
      <c r="D4" s="9"/>
      <c r="E4" s="24"/>
      <c r="F4" s="5" t="s">
        <v>371</v>
      </c>
      <c r="M4" s="1"/>
      <c r="P4" s="6"/>
    </row>
    <row r="5" spans="1:29">
      <c r="A5" s="15" t="s">
        <v>161</v>
      </c>
      <c r="B5" s="16"/>
      <c r="C5" s="13"/>
      <c r="D5" s="9"/>
      <c r="E5" s="25"/>
      <c r="F5" s="7"/>
      <c r="G5" s="12"/>
      <c r="H5" s="12"/>
      <c r="I5" s="12"/>
      <c r="J5" s="12"/>
      <c r="K5" s="12"/>
      <c r="L5" s="12"/>
      <c r="M5" s="12"/>
      <c r="N5" s="12"/>
      <c r="O5" s="12"/>
      <c r="P5" s="8"/>
    </row>
    <row r="6" spans="1:29">
      <c r="E6" s="1"/>
      <c r="M6" s="1"/>
      <c r="O6" s="12"/>
      <c r="P6" s="8"/>
      <c r="Z6" s="1" t="s">
        <v>1022</v>
      </c>
    </row>
    <row r="7" spans="1:29">
      <c r="A7" s="15" t="s">
        <v>13</v>
      </c>
      <c r="B7" s="15" t="s">
        <v>37</v>
      </c>
      <c r="C7" s="15" t="s">
        <v>40</v>
      </c>
      <c r="D7" s="15" t="s">
        <v>43</v>
      </c>
      <c r="E7" s="20" t="s">
        <v>46</v>
      </c>
      <c r="F7" s="15" t="s">
        <v>48</v>
      </c>
      <c r="G7" s="15" t="s">
        <v>50</v>
      </c>
      <c r="H7" s="15" t="s">
        <v>52</v>
      </c>
      <c r="I7" s="15" t="s">
        <v>54</v>
      </c>
      <c r="J7" s="15" t="s">
        <v>57</v>
      </c>
      <c r="K7" s="20" t="s">
        <v>59</v>
      </c>
      <c r="L7" s="20" t="s">
        <v>61</v>
      </c>
      <c r="M7" s="20" t="s">
        <v>163</v>
      </c>
      <c r="N7" s="15" t="s">
        <v>65</v>
      </c>
      <c r="O7" s="30" t="s">
        <v>67</v>
      </c>
      <c r="P7" s="30" t="s">
        <v>69</v>
      </c>
      <c r="Q7" s="42" t="s">
        <v>979</v>
      </c>
      <c r="R7" s="42" t="s">
        <v>980</v>
      </c>
      <c r="T7" s="1" t="s">
        <v>992</v>
      </c>
    </row>
    <row r="8" spans="1:29">
      <c r="A8" s="2">
        <v>1</v>
      </c>
      <c r="B8" s="2" t="s">
        <v>203</v>
      </c>
      <c r="C8" s="2"/>
      <c r="D8" s="2" t="s">
        <v>372</v>
      </c>
      <c r="E8" s="3" t="s">
        <v>256</v>
      </c>
      <c r="F8" s="3" t="s">
        <v>373</v>
      </c>
      <c r="G8" s="2" t="s">
        <v>207</v>
      </c>
      <c r="H8" s="2" t="s">
        <v>169</v>
      </c>
      <c r="I8" s="28" t="s">
        <v>170</v>
      </c>
      <c r="J8" s="2" t="s">
        <v>178</v>
      </c>
      <c r="K8" s="2" t="s">
        <v>178</v>
      </c>
      <c r="L8" s="2" t="s">
        <v>178</v>
      </c>
      <c r="M8" s="3"/>
      <c r="N8" s="3"/>
      <c r="O8" s="3"/>
      <c r="P8" s="3"/>
      <c r="Q8" s="2"/>
      <c r="R8" s="2"/>
      <c r="U8" s="1" t="str">
        <f t="shared" ref="U8:U38" si="0">D8&amp;" "&amp;G8&amp; " " &amp; H8&amp;" "  &amp; IF(G9="",""," ,")</f>
        <v>DIS_UNIQUE_ID SERIAL NOT NULL  ,</v>
      </c>
      <c r="Z8" s="1" t="s">
        <v>996</v>
      </c>
      <c r="AA8" s="1" t="str">
        <f>IF(Z8=D8,"○","×")</f>
        <v>○</v>
      </c>
      <c r="AC8" s="1" t="str">
        <f>LOWER(D8)&amp;" AS "&amp;LOWER(D8)&amp;","</f>
        <v>dis_unique_id AS dis_unique_id,</v>
      </c>
    </row>
    <row r="9" spans="1:29" ht="33">
      <c r="A9" s="43">
        <v>2</v>
      </c>
      <c r="B9" s="43" t="s">
        <v>135</v>
      </c>
      <c r="C9" s="43" t="s">
        <v>180</v>
      </c>
      <c r="D9" s="47" t="s">
        <v>181</v>
      </c>
      <c r="E9" s="44" t="s">
        <v>182</v>
      </c>
      <c r="F9" s="44" t="s">
        <v>374</v>
      </c>
      <c r="G9" s="43" t="s">
        <v>168</v>
      </c>
      <c r="H9" s="43" t="s">
        <v>169</v>
      </c>
      <c r="I9" s="45"/>
      <c r="J9" s="43" t="s">
        <v>171</v>
      </c>
      <c r="K9" s="43" t="s">
        <v>172</v>
      </c>
      <c r="L9" s="44" t="s">
        <v>173</v>
      </c>
      <c r="M9" s="44" t="s">
        <v>179</v>
      </c>
      <c r="N9" s="44"/>
      <c r="O9" s="44"/>
      <c r="P9" s="44"/>
      <c r="Q9" s="43" t="s">
        <v>993</v>
      </c>
      <c r="R9" s="43"/>
      <c r="U9" s="1" t="str">
        <f t="shared" si="0"/>
        <v>PATIENT_ID VARCHAR(64) NOT NULL  ,</v>
      </c>
      <c r="Z9" s="1" t="s">
        <v>997</v>
      </c>
      <c r="AA9" s="1" t="str">
        <f t="shared" ref="AA9:AA39" si="1">IF(Z9=D9,"○","×")</f>
        <v>×</v>
      </c>
      <c r="AC9" s="1" t="str">
        <f t="shared" ref="AC9:AC39" si="2">LOWER(D9)&amp;" AS "&amp;LOWER(D9)&amp;","</f>
        <v>patient_id AS patient_id,</v>
      </c>
    </row>
    <row r="10" spans="1:29" ht="49.5">
      <c r="A10" s="43">
        <v>3</v>
      </c>
      <c r="B10" s="43"/>
      <c r="C10" s="43"/>
      <c r="D10" s="51" t="s">
        <v>294</v>
      </c>
      <c r="E10" s="51" t="s">
        <v>295</v>
      </c>
      <c r="F10" s="51" t="s">
        <v>375</v>
      </c>
      <c r="G10" s="47" t="s">
        <v>217</v>
      </c>
      <c r="H10" s="47"/>
      <c r="I10" s="52"/>
      <c r="J10" s="47" t="s">
        <v>376</v>
      </c>
      <c r="K10" s="51" t="s">
        <v>377</v>
      </c>
      <c r="L10" s="44" t="s">
        <v>277</v>
      </c>
      <c r="M10" s="44"/>
      <c r="N10" s="44"/>
      <c r="O10" s="44"/>
      <c r="P10" s="44"/>
      <c r="Q10" s="43" t="s">
        <v>1155</v>
      </c>
      <c r="R10" s="43"/>
      <c r="S10" s="60"/>
      <c r="U10" s="1" t="str">
        <f t="shared" si="0"/>
        <v>DEPT_CD_S VARCHAR(8)   ,</v>
      </c>
      <c r="AA10" s="1" t="str">
        <f t="shared" si="1"/>
        <v>×</v>
      </c>
      <c r="AC10" s="1" t="str">
        <f t="shared" si="2"/>
        <v>dept_cd_s AS dept_cd_s,</v>
      </c>
    </row>
    <row r="11" spans="1:29">
      <c r="A11" s="2">
        <v>4</v>
      </c>
      <c r="B11" s="2"/>
      <c r="C11" s="2"/>
      <c r="D11" s="3" t="s">
        <v>298</v>
      </c>
      <c r="E11" s="3" t="s">
        <v>299</v>
      </c>
      <c r="F11" s="3" t="s">
        <v>378</v>
      </c>
      <c r="G11" s="2" t="s">
        <v>289</v>
      </c>
      <c r="H11" s="2"/>
      <c r="I11" s="28" t="s">
        <v>170</v>
      </c>
      <c r="J11" s="2" t="s">
        <v>178</v>
      </c>
      <c r="K11" s="2" t="s">
        <v>178</v>
      </c>
      <c r="L11" s="3" t="s">
        <v>277</v>
      </c>
      <c r="M11" s="3"/>
      <c r="N11" s="3"/>
      <c r="O11" s="3"/>
      <c r="P11" s="3"/>
      <c r="Q11" s="2"/>
      <c r="R11" s="2"/>
      <c r="U11" s="1" t="str">
        <f t="shared" si="0"/>
        <v>DEPT_CD_L TEXT   ,</v>
      </c>
      <c r="Z11" s="1" t="s">
        <v>998</v>
      </c>
      <c r="AA11" s="1" t="str">
        <f t="shared" si="1"/>
        <v>○</v>
      </c>
      <c r="AC11" s="1" t="str">
        <f t="shared" si="2"/>
        <v>dept_cd_l AS dept_cd_l,</v>
      </c>
    </row>
    <row r="12" spans="1:29" ht="49.5">
      <c r="A12" s="2">
        <v>5</v>
      </c>
      <c r="B12" s="2"/>
      <c r="C12" s="2"/>
      <c r="D12" s="3" t="s">
        <v>379</v>
      </c>
      <c r="E12" s="3" t="s">
        <v>380</v>
      </c>
      <c r="F12" s="3" t="s">
        <v>381</v>
      </c>
      <c r="G12" s="2" t="s">
        <v>289</v>
      </c>
      <c r="H12" s="2"/>
      <c r="I12" s="28"/>
      <c r="J12" s="2" t="s">
        <v>376</v>
      </c>
      <c r="K12" s="3" t="s">
        <v>382</v>
      </c>
      <c r="L12" s="3" t="s">
        <v>277</v>
      </c>
      <c r="M12" s="3"/>
      <c r="N12" s="3"/>
      <c r="O12" s="3"/>
      <c r="P12" s="3"/>
      <c r="Q12" s="2"/>
      <c r="R12" s="2"/>
      <c r="U12" s="1" t="str">
        <f t="shared" si="0"/>
        <v>DEPT_NAME_L TEXT   ,</v>
      </c>
      <c r="Z12" s="1" t="s">
        <v>999</v>
      </c>
      <c r="AA12" s="1" t="str">
        <f t="shared" si="1"/>
        <v>○</v>
      </c>
      <c r="AC12" s="1" t="str">
        <f t="shared" si="2"/>
        <v>dept_name_l AS dept_name_l,</v>
      </c>
    </row>
    <row r="13" spans="1:29">
      <c r="A13" s="2">
        <v>6</v>
      </c>
      <c r="B13" s="2" t="s">
        <v>135</v>
      </c>
      <c r="C13" s="2" t="s">
        <v>180</v>
      </c>
      <c r="D13" s="2" t="s">
        <v>383</v>
      </c>
      <c r="E13" s="3" t="s">
        <v>384</v>
      </c>
      <c r="F13" s="3" t="s">
        <v>385</v>
      </c>
      <c r="G13" s="2" t="s">
        <v>168</v>
      </c>
      <c r="H13" s="2" t="s">
        <v>169</v>
      </c>
      <c r="I13" s="28"/>
      <c r="J13" s="2" t="s">
        <v>386</v>
      </c>
      <c r="K13" s="2" t="s">
        <v>387</v>
      </c>
      <c r="L13" s="3" t="s">
        <v>173</v>
      </c>
      <c r="M13" s="3"/>
      <c r="N13" s="3"/>
      <c r="O13" s="3"/>
      <c r="P13" s="3"/>
      <c r="Q13" s="2"/>
      <c r="R13" s="2"/>
      <c r="U13" s="1" t="str">
        <f t="shared" si="0"/>
        <v>DIS_INSTANCE_ID VARCHAR(64) NOT NULL  ,</v>
      </c>
      <c r="Z13" s="1" t="s">
        <v>1000</v>
      </c>
      <c r="AA13" s="1" t="str">
        <f t="shared" si="1"/>
        <v>○</v>
      </c>
      <c r="AC13" s="1" t="str">
        <f t="shared" si="2"/>
        <v>dis_instance_id AS dis_instance_id,</v>
      </c>
    </row>
    <row r="14" spans="1:29" ht="33">
      <c r="A14" s="43">
        <v>7</v>
      </c>
      <c r="B14" s="43"/>
      <c r="C14" s="43"/>
      <c r="D14" s="43" t="s">
        <v>388</v>
      </c>
      <c r="E14" s="44" t="s">
        <v>389</v>
      </c>
      <c r="F14" s="44" t="s">
        <v>390</v>
      </c>
      <c r="G14" s="43" t="s">
        <v>217</v>
      </c>
      <c r="H14" s="43"/>
      <c r="I14" s="43"/>
      <c r="J14" s="44" t="s">
        <v>391</v>
      </c>
      <c r="K14" s="44" t="s">
        <v>392</v>
      </c>
      <c r="L14" s="44" t="s">
        <v>277</v>
      </c>
      <c r="M14" s="44"/>
      <c r="N14" s="44"/>
      <c r="O14" s="44"/>
      <c r="P14" s="44"/>
      <c r="Q14" s="44" t="s">
        <v>1162</v>
      </c>
      <c r="R14" s="43"/>
      <c r="U14" s="1" t="str">
        <f t="shared" si="0"/>
        <v>DIS_MANAGEMENT_CD VARCHAR(8)   ,</v>
      </c>
      <c r="Z14" s="1" t="s">
        <v>388</v>
      </c>
      <c r="AA14" s="1" t="str">
        <f t="shared" si="1"/>
        <v>○</v>
      </c>
      <c r="AC14" s="1" t="str">
        <f t="shared" si="2"/>
        <v>dis_management_cd AS dis_management_cd,</v>
      </c>
    </row>
    <row r="15" spans="1:29">
      <c r="A15" s="2">
        <v>8</v>
      </c>
      <c r="B15" s="2"/>
      <c r="C15" s="2" t="s">
        <v>180</v>
      </c>
      <c r="D15" s="2" t="s">
        <v>393</v>
      </c>
      <c r="E15" s="3" t="s">
        <v>394</v>
      </c>
      <c r="F15" s="3" t="s">
        <v>395</v>
      </c>
      <c r="G15" s="2" t="s">
        <v>217</v>
      </c>
      <c r="H15" s="2"/>
      <c r="I15" s="2"/>
      <c r="J15" s="2" t="s">
        <v>396</v>
      </c>
      <c r="K15" s="3" t="s">
        <v>397</v>
      </c>
      <c r="L15" s="3" t="s">
        <v>277</v>
      </c>
      <c r="M15" s="3"/>
      <c r="N15" s="3"/>
      <c r="O15" s="3"/>
      <c r="P15" s="3"/>
      <c r="Q15" s="2"/>
      <c r="R15" s="2"/>
      <c r="U15" s="1" t="str">
        <f t="shared" si="0"/>
        <v>DIS_EXCHANGE_CD VARCHAR(8)   ,</v>
      </c>
      <c r="Z15" s="1" t="s">
        <v>393</v>
      </c>
      <c r="AA15" s="1" t="str">
        <f t="shared" si="1"/>
        <v>○</v>
      </c>
      <c r="AC15" s="1" t="str">
        <f t="shared" si="2"/>
        <v>dis_exchange_cd AS dis_exchange_cd,</v>
      </c>
    </row>
    <row r="16" spans="1:29" ht="66">
      <c r="A16" s="43">
        <v>9</v>
      </c>
      <c r="B16" s="43"/>
      <c r="C16" s="43" t="s">
        <v>180</v>
      </c>
      <c r="D16" s="43" t="s">
        <v>398</v>
      </c>
      <c r="E16" s="44" t="s">
        <v>399</v>
      </c>
      <c r="F16" s="44" t="s">
        <v>400</v>
      </c>
      <c r="G16" s="43" t="s">
        <v>217</v>
      </c>
      <c r="H16" s="43"/>
      <c r="I16" s="45"/>
      <c r="J16" s="43" t="s">
        <v>401</v>
      </c>
      <c r="K16" s="43" t="s">
        <v>402</v>
      </c>
      <c r="L16" s="44" t="s">
        <v>277</v>
      </c>
      <c r="M16" s="44" t="s">
        <v>1122</v>
      </c>
      <c r="N16" s="44" t="s">
        <v>404</v>
      </c>
      <c r="O16" s="44"/>
      <c r="P16" s="44"/>
      <c r="Q16" s="44" t="s">
        <v>1132</v>
      </c>
      <c r="R16" s="43" t="s">
        <v>1163</v>
      </c>
      <c r="U16" s="1" t="str">
        <f t="shared" si="0"/>
        <v>ICD10_CD VARCHAR(8)   ,</v>
      </c>
      <c r="Z16" s="1" t="s">
        <v>1001</v>
      </c>
      <c r="AA16" s="1" t="str">
        <f t="shared" si="1"/>
        <v>○</v>
      </c>
      <c r="AC16" s="1" t="str">
        <f t="shared" si="2"/>
        <v>icd10_cd AS icd10_cd,</v>
      </c>
    </row>
    <row r="17" spans="1:29" ht="49.5">
      <c r="A17" s="2">
        <v>10</v>
      </c>
      <c r="B17" s="2" t="s">
        <v>135</v>
      </c>
      <c r="C17" s="2" t="s">
        <v>180</v>
      </c>
      <c r="D17" s="2" t="s">
        <v>405</v>
      </c>
      <c r="E17" s="3" t="s">
        <v>406</v>
      </c>
      <c r="F17" s="3" t="s">
        <v>407</v>
      </c>
      <c r="G17" s="2" t="s">
        <v>408</v>
      </c>
      <c r="H17" s="2" t="s">
        <v>169</v>
      </c>
      <c r="I17" s="28"/>
      <c r="J17" s="2" t="s">
        <v>409</v>
      </c>
      <c r="K17" s="2" t="s">
        <v>410</v>
      </c>
      <c r="L17" s="3" t="s">
        <v>173</v>
      </c>
      <c r="M17" s="3" t="s">
        <v>403</v>
      </c>
      <c r="N17" s="3" t="s">
        <v>411</v>
      </c>
      <c r="O17" s="3"/>
      <c r="P17" s="3"/>
      <c r="Q17" s="2"/>
      <c r="R17" s="2"/>
      <c r="U17" s="1" t="str">
        <f t="shared" si="0"/>
        <v>DIS_CD VARCHAR(32) NOT NULL  ,</v>
      </c>
      <c r="Z17" s="1" t="s">
        <v>1002</v>
      </c>
      <c r="AA17" s="1" t="str">
        <f t="shared" si="1"/>
        <v>○</v>
      </c>
      <c r="AC17" s="1" t="str">
        <f t="shared" si="2"/>
        <v>dis_cd AS dis_cd,</v>
      </c>
    </row>
    <row r="18" spans="1:29" ht="34.5" customHeight="1">
      <c r="A18" s="43">
        <v>11</v>
      </c>
      <c r="B18" s="43"/>
      <c r="C18" s="43" t="s">
        <v>180</v>
      </c>
      <c r="D18" s="43" t="s">
        <v>412</v>
      </c>
      <c r="E18" s="44" t="s">
        <v>413</v>
      </c>
      <c r="F18" s="44" t="s">
        <v>414</v>
      </c>
      <c r="G18" s="43" t="s">
        <v>289</v>
      </c>
      <c r="H18" s="43" t="s">
        <v>169</v>
      </c>
      <c r="I18" s="45"/>
      <c r="J18" s="43" t="s">
        <v>415</v>
      </c>
      <c r="K18" s="43" t="s">
        <v>416</v>
      </c>
      <c r="L18" s="44" t="s">
        <v>173</v>
      </c>
      <c r="M18" s="44" t="s">
        <v>403</v>
      </c>
      <c r="N18" s="44"/>
      <c r="O18" s="44"/>
      <c r="P18" s="44"/>
      <c r="Q18" s="44" t="s">
        <v>1131</v>
      </c>
      <c r="R18" s="43"/>
      <c r="U18" s="1" t="str">
        <f t="shared" si="0"/>
        <v>DIS_NAME TEXT NOT NULL  ,</v>
      </c>
      <c r="Z18" s="1" t="s">
        <v>1003</v>
      </c>
      <c r="AA18" s="1" t="str">
        <f t="shared" si="1"/>
        <v>○</v>
      </c>
      <c r="AC18" s="1" t="str">
        <f t="shared" si="2"/>
        <v>dis_name AS dis_name,</v>
      </c>
    </row>
    <row r="19" spans="1:29">
      <c r="A19" s="2">
        <v>12</v>
      </c>
      <c r="B19" s="2"/>
      <c r="C19" s="2"/>
      <c r="D19" s="2" t="s">
        <v>417</v>
      </c>
      <c r="E19" s="3" t="s">
        <v>418</v>
      </c>
      <c r="F19" s="3" t="s">
        <v>419</v>
      </c>
      <c r="G19" s="2" t="s">
        <v>289</v>
      </c>
      <c r="H19" s="2"/>
      <c r="I19" s="28"/>
      <c r="J19" s="2" t="s">
        <v>420</v>
      </c>
      <c r="K19" s="2" t="s">
        <v>421</v>
      </c>
      <c r="L19" s="3" t="s">
        <v>277</v>
      </c>
      <c r="M19" s="3"/>
      <c r="N19" s="3"/>
      <c r="O19" s="3"/>
      <c r="P19" s="3"/>
      <c r="Q19" s="2"/>
      <c r="R19" s="2"/>
      <c r="U19" s="1" t="str">
        <f t="shared" si="0"/>
        <v>DIS_PREFIX_CD TEXT   ,</v>
      </c>
      <c r="Z19" s="1" t="s">
        <v>417</v>
      </c>
      <c r="AA19" s="1" t="str">
        <f t="shared" si="1"/>
        <v>○</v>
      </c>
      <c r="AC19" s="1" t="str">
        <f t="shared" si="2"/>
        <v>dis_prefix_cd AS dis_prefix_cd,</v>
      </c>
    </row>
    <row r="20" spans="1:29">
      <c r="A20" s="2">
        <v>13</v>
      </c>
      <c r="B20" s="2"/>
      <c r="C20" s="2"/>
      <c r="D20" s="2" t="s">
        <v>422</v>
      </c>
      <c r="E20" s="3" t="s">
        <v>423</v>
      </c>
      <c r="F20" s="3" t="s">
        <v>424</v>
      </c>
      <c r="G20" s="2" t="s">
        <v>289</v>
      </c>
      <c r="H20" s="2"/>
      <c r="I20" s="28"/>
      <c r="J20" s="2" t="s">
        <v>425</v>
      </c>
      <c r="K20" s="2" t="s">
        <v>426</v>
      </c>
      <c r="L20" s="3" t="s">
        <v>277</v>
      </c>
      <c r="M20" s="3"/>
      <c r="N20" s="3"/>
      <c r="O20" s="3"/>
      <c r="P20" s="3"/>
      <c r="Q20" s="2"/>
      <c r="R20" s="2"/>
      <c r="U20" s="1" t="str">
        <f t="shared" si="0"/>
        <v>DIS_SUFFIX_CD TEXT   ,</v>
      </c>
      <c r="Z20" s="1" t="s">
        <v>422</v>
      </c>
      <c r="AA20" s="1" t="str">
        <f t="shared" si="1"/>
        <v>○</v>
      </c>
      <c r="AC20" s="1" t="str">
        <f t="shared" si="2"/>
        <v>dis_suffix_cd AS dis_suffix_cd,</v>
      </c>
    </row>
    <row r="21" spans="1:29" ht="33">
      <c r="A21" s="2">
        <v>14</v>
      </c>
      <c r="B21" s="2"/>
      <c r="C21" s="2"/>
      <c r="D21" s="2" t="s">
        <v>427</v>
      </c>
      <c r="E21" s="3" t="s">
        <v>428</v>
      </c>
      <c r="F21" s="3" t="s">
        <v>429</v>
      </c>
      <c r="G21" s="2" t="s">
        <v>217</v>
      </c>
      <c r="H21" s="2"/>
      <c r="I21" s="31"/>
      <c r="J21" s="2" t="s">
        <v>430</v>
      </c>
      <c r="K21" s="3" t="s">
        <v>431</v>
      </c>
      <c r="L21" s="3" t="s">
        <v>277</v>
      </c>
      <c r="M21" s="3" t="s">
        <v>432</v>
      </c>
      <c r="N21" s="3" t="s">
        <v>230</v>
      </c>
      <c r="O21" s="3"/>
      <c r="P21" s="3"/>
      <c r="Q21" s="2"/>
      <c r="R21" s="2"/>
      <c r="U21" s="1" t="str">
        <f t="shared" si="0"/>
        <v>DIS_START_DATE VARCHAR(8)   ,</v>
      </c>
      <c r="Z21" s="1" t="s">
        <v>1004</v>
      </c>
      <c r="AA21" s="1" t="str">
        <f t="shared" si="1"/>
        <v>○</v>
      </c>
      <c r="AC21" s="1" t="str">
        <f t="shared" si="2"/>
        <v>dis_start_date AS dis_start_date,</v>
      </c>
    </row>
    <row r="22" spans="1:29" ht="33">
      <c r="A22" s="2">
        <v>15</v>
      </c>
      <c r="B22" s="2"/>
      <c r="C22" s="2"/>
      <c r="D22" s="2" t="s">
        <v>433</v>
      </c>
      <c r="E22" s="3" t="s">
        <v>434</v>
      </c>
      <c r="F22" s="3" t="s">
        <v>435</v>
      </c>
      <c r="G22" s="2" t="s">
        <v>217</v>
      </c>
      <c r="H22" s="2"/>
      <c r="I22" s="31"/>
      <c r="J22" s="2" t="s">
        <v>436</v>
      </c>
      <c r="K22" s="3" t="s">
        <v>437</v>
      </c>
      <c r="L22" s="3" t="s">
        <v>277</v>
      </c>
      <c r="M22" s="29"/>
      <c r="N22" s="3" t="s">
        <v>230</v>
      </c>
      <c r="O22" s="3"/>
      <c r="P22" s="3"/>
      <c r="Q22" s="2"/>
      <c r="R22" s="2"/>
      <c r="U22" s="1" t="str">
        <f t="shared" si="0"/>
        <v>DIS_ESTABLISHED_DATE VARCHAR(8)   ,</v>
      </c>
      <c r="Z22" s="1" t="s">
        <v>1005</v>
      </c>
      <c r="AA22" s="1" t="str">
        <f t="shared" si="1"/>
        <v>○</v>
      </c>
      <c r="AC22" s="1" t="str">
        <f t="shared" si="2"/>
        <v>dis_established_date AS dis_established_date,</v>
      </c>
    </row>
    <row r="23" spans="1:29" ht="33">
      <c r="A23" s="2">
        <v>16</v>
      </c>
      <c r="B23" s="2"/>
      <c r="C23" s="2"/>
      <c r="D23" s="2" t="s">
        <v>438</v>
      </c>
      <c r="E23" s="3" t="s">
        <v>439</v>
      </c>
      <c r="F23" s="3" t="s">
        <v>440</v>
      </c>
      <c r="G23" s="2" t="s">
        <v>217</v>
      </c>
      <c r="H23" s="2"/>
      <c r="I23" s="31"/>
      <c r="J23" s="2" t="s">
        <v>441</v>
      </c>
      <c r="K23" s="3" t="s">
        <v>442</v>
      </c>
      <c r="L23" s="3" t="s">
        <v>277</v>
      </c>
      <c r="M23" s="3" t="s">
        <v>443</v>
      </c>
      <c r="N23" s="3" t="s">
        <v>230</v>
      </c>
      <c r="O23" s="3"/>
      <c r="P23" s="3"/>
      <c r="Q23" s="2"/>
      <c r="R23" s="2"/>
      <c r="U23" s="1" t="str">
        <f t="shared" si="0"/>
        <v>DIS_END_DATE VARCHAR(8)   ,</v>
      </c>
      <c r="Z23" s="1" t="s">
        <v>1006</v>
      </c>
      <c r="AA23" s="1" t="str">
        <f t="shared" si="1"/>
        <v>○</v>
      </c>
      <c r="AC23" s="1" t="str">
        <f t="shared" si="2"/>
        <v>dis_end_date AS dis_end_date,</v>
      </c>
    </row>
    <row r="24" spans="1:29">
      <c r="A24" s="2">
        <v>17</v>
      </c>
      <c r="B24" s="2"/>
      <c r="C24" s="2"/>
      <c r="D24" s="2" t="s">
        <v>444</v>
      </c>
      <c r="E24" s="3" t="s">
        <v>445</v>
      </c>
      <c r="F24" s="3" t="s">
        <v>446</v>
      </c>
      <c r="G24" s="2" t="s">
        <v>217</v>
      </c>
      <c r="H24" s="2"/>
      <c r="I24" s="31"/>
      <c r="J24" s="2" t="s">
        <v>447</v>
      </c>
      <c r="K24" s="3" t="s">
        <v>448</v>
      </c>
      <c r="L24" s="3" t="s">
        <v>277</v>
      </c>
      <c r="M24" s="3"/>
      <c r="N24" s="3" t="s">
        <v>230</v>
      </c>
      <c r="O24" s="3"/>
      <c r="P24" s="3"/>
      <c r="Q24" s="2"/>
      <c r="R24" s="2"/>
      <c r="U24" s="1" t="str">
        <f t="shared" si="0"/>
        <v>DIS_OUTCOME_DATE VARCHAR(8)   ,</v>
      </c>
      <c r="Z24" s="1" t="s">
        <v>1007</v>
      </c>
      <c r="AA24" s="1" t="str">
        <f t="shared" si="1"/>
        <v>○</v>
      </c>
      <c r="AC24" s="1" t="str">
        <f t="shared" si="2"/>
        <v>dis_outcome_date AS dis_outcome_date,</v>
      </c>
    </row>
    <row r="25" spans="1:29">
      <c r="A25" s="43">
        <v>18</v>
      </c>
      <c r="B25" s="43"/>
      <c r="C25" s="43" t="s">
        <v>180</v>
      </c>
      <c r="D25" s="43" t="s">
        <v>449</v>
      </c>
      <c r="E25" s="44" t="s">
        <v>450</v>
      </c>
      <c r="F25" s="44" t="s">
        <v>451</v>
      </c>
      <c r="G25" s="43" t="s">
        <v>103</v>
      </c>
      <c r="H25" s="43" t="s">
        <v>169</v>
      </c>
      <c r="I25" s="43" t="s">
        <v>452</v>
      </c>
      <c r="J25" s="43" t="s">
        <v>178</v>
      </c>
      <c r="K25" s="43" t="s">
        <v>178</v>
      </c>
      <c r="L25" s="43" t="s">
        <v>178</v>
      </c>
      <c r="M25" s="46" t="s">
        <v>178</v>
      </c>
      <c r="N25" s="44"/>
      <c r="O25" s="44"/>
      <c r="P25" s="44"/>
      <c r="Q25" s="43" t="s">
        <v>994</v>
      </c>
      <c r="R25" s="43"/>
      <c r="U25" s="1" t="str">
        <f t="shared" si="0"/>
        <v>SCH_DIS_START_DATE DATE NOT NULL  ,</v>
      </c>
      <c r="Z25" s="1" t="s">
        <v>1008</v>
      </c>
      <c r="AA25" s="1" t="str">
        <f t="shared" si="1"/>
        <v>○</v>
      </c>
      <c r="AC25" s="1" t="str">
        <f t="shared" si="2"/>
        <v>sch_dis_start_date AS sch_dis_start_date,</v>
      </c>
    </row>
    <row r="26" spans="1:29" ht="33">
      <c r="A26" s="2">
        <v>19</v>
      </c>
      <c r="B26" s="2"/>
      <c r="C26" s="2" t="s">
        <v>180</v>
      </c>
      <c r="D26" s="2" t="s">
        <v>453</v>
      </c>
      <c r="E26" s="3" t="s">
        <v>454</v>
      </c>
      <c r="F26" s="3" t="s">
        <v>455</v>
      </c>
      <c r="G26" s="2" t="s">
        <v>103</v>
      </c>
      <c r="H26" s="2" t="s">
        <v>169</v>
      </c>
      <c r="I26" s="2" t="s">
        <v>452</v>
      </c>
      <c r="J26" s="2" t="s">
        <v>178</v>
      </c>
      <c r="K26" s="2" t="s">
        <v>178</v>
      </c>
      <c r="L26" s="2" t="s">
        <v>178</v>
      </c>
      <c r="M26" s="2" t="s">
        <v>178</v>
      </c>
      <c r="N26" s="29"/>
      <c r="O26" s="3"/>
      <c r="P26" s="3"/>
      <c r="Q26" s="2"/>
      <c r="R26" s="2"/>
      <c r="U26" s="1" t="str">
        <f t="shared" si="0"/>
        <v>SCH_DIS_ESTABLISHED_DATE DATE NOT NULL  ,</v>
      </c>
      <c r="Z26" s="1" t="s">
        <v>1009</v>
      </c>
      <c r="AA26" s="1" t="str">
        <f t="shared" si="1"/>
        <v>○</v>
      </c>
      <c r="AC26" s="1" t="str">
        <f t="shared" si="2"/>
        <v>sch_dis_established_date AS sch_dis_established_date,</v>
      </c>
    </row>
    <row r="27" spans="1:29">
      <c r="A27" s="43">
        <v>20</v>
      </c>
      <c r="B27" s="43"/>
      <c r="C27" s="43" t="s">
        <v>180</v>
      </c>
      <c r="D27" s="43" t="s">
        <v>456</v>
      </c>
      <c r="E27" s="44" t="s">
        <v>457</v>
      </c>
      <c r="F27" s="44" t="s">
        <v>458</v>
      </c>
      <c r="G27" s="43" t="s">
        <v>103</v>
      </c>
      <c r="H27" s="43"/>
      <c r="I27" s="43" t="s">
        <v>234</v>
      </c>
      <c r="J27" s="43" t="s">
        <v>178</v>
      </c>
      <c r="K27" s="43" t="s">
        <v>178</v>
      </c>
      <c r="L27" s="43" t="s">
        <v>178</v>
      </c>
      <c r="M27" s="46" t="s">
        <v>178</v>
      </c>
      <c r="N27" s="44"/>
      <c r="O27" s="44"/>
      <c r="P27" s="44"/>
      <c r="Q27" s="43" t="s">
        <v>995</v>
      </c>
      <c r="R27" s="59"/>
      <c r="U27" s="1" t="str">
        <f t="shared" si="0"/>
        <v>SCH_DIS_END_DATE DATE   ,</v>
      </c>
      <c r="Z27" s="1" t="s">
        <v>1010</v>
      </c>
      <c r="AA27" s="1" t="str">
        <f t="shared" si="1"/>
        <v>○</v>
      </c>
      <c r="AC27" s="1" t="str">
        <f t="shared" si="2"/>
        <v>sch_dis_end_date AS sch_dis_end_date,</v>
      </c>
    </row>
    <row r="28" spans="1:29" ht="33">
      <c r="A28" s="43">
        <v>21</v>
      </c>
      <c r="B28" s="43"/>
      <c r="C28" s="43" t="s">
        <v>180</v>
      </c>
      <c r="D28" s="43" t="s">
        <v>459</v>
      </c>
      <c r="E28" s="44" t="s">
        <v>460</v>
      </c>
      <c r="F28" s="44" t="s">
        <v>461</v>
      </c>
      <c r="G28" s="43" t="s">
        <v>103</v>
      </c>
      <c r="H28" s="43"/>
      <c r="I28" s="43" t="s">
        <v>234</v>
      </c>
      <c r="J28" s="43" t="s">
        <v>178</v>
      </c>
      <c r="K28" s="43" t="s">
        <v>178</v>
      </c>
      <c r="L28" s="43" t="s">
        <v>178</v>
      </c>
      <c r="M28" s="46" t="s">
        <v>178</v>
      </c>
      <c r="N28" s="44"/>
      <c r="O28" s="44"/>
      <c r="P28" s="44"/>
      <c r="Q28" s="43" t="s">
        <v>995</v>
      </c>
      <c r="R28" s="59"/>
      <c r="U28" s="1" t="str">
        <f t="shared" si="0"/>
        <v>SCH_DIS_OUTCOME_DATE DATE   ,</v>
      </c>
      <c r="Z28" s="1" t="s">
        <v>1011</v>
      </c>
      <c r="AA28" s="1" t="str">
        <f t="shared" si="1"/>
        <v>○</v>
      </c>
      <c r="AC28" s="1" t="str">
        <f t="shared" si="2"/>
        <v>sch_dis_outcome_date AS sch_dis_outcome_date,</v>
      </c>
    </row>
    <row r="29" spans="1:29" ht="231">
      <c r="A29" s="43">
        <v>22</v>
      </c>
      <c r="B29" s="43"/>
      <c r="C29" s="43" t="s">
        <v>180</v>
      </c>
      <c r="D29" s="43" t="s">
        <v>462</v>
      </c>
      <c r="E29" s="44" t="s">
        <v>463</v>
      </c>
      <c r="F29" s="44" t="s">
        <v>464</v>
      </c>
      <c r="G29" s="43" t="s">
        <v>217</v>
      </c>
      <c r="H29" s="43"/>
      <c r="I29" s="45"/>
      <c r="J29" s="43" t="s">
        <v>465</v>
      </c>
      <c r="K29" s="44" t="s">
        <v>466</v>
      </c>
      <c r="L29" s="44" t="s">
        <v>277</v>
      </c>
      <c r="M29" s="44" t="s">
        <v>467</v>
      </c>
      <c r="N29" s="44" t="s">
        <v>468</v>
      </c>
      <c r="O29" s="44"/>
      <c r="P29" s="44"/>
      <c r="Q29" s="58" t="s">
        <v>1129</v>
      </c>
      <c r="R29" s="58"/>
      <c r="U29" s="1" t="str">
        <f t="shared" si="0"/>
        <v>DIS_OUTCOME_CD VARCHAR(8)   ,</v>
      </c>
      <c r="Z29" s="1" t="s">
        <v>1012</v>
      </c>
      <c r="AA29" s="1" t="str">
        <f t="shared" si="1"/>
        <v>○</v>
      </c>
      <c r="AC29" s="1" t="str">
        <f t="shared" si="2"/>
        <v>dis_outcome_cd AS dis_outcome_cd,</v>
      </c>
    </row>
    <row r="30" spans="1:29" ht="66">
      <c r="A30" s="43">
        <v>23</v>
      </c>
      <c r="B30" s="43"/>
      <c r="C30" s="43" t="s">
        <v>180</v>
      </c>
      <c r="D30" s="43" t="s">
        <v>469</v>
      </c>
      <c r="E30" s="44" t="s">
        <v>470</v>
      </c>
      <c r="F30" s="44" t="s">
        <v>471</v>
      </c>
      <c r="G30" s="43" t="s">
        <v>217</v>
      </c>
      <c r="H30" s="43"/>
      <c r="I30" s="45"/>
      <c r="J30" s="43" t="s">
        <v>472</v>
      </c>
      <c r="K30" s="44" t="s">
        <v>473</v>
      </c>
      <c r="L30" s="44" t="s">
        <v>277</v>
      </c>
      <c r="M30" s="44" t="s">
        <v>474</v>
      </c>
      <c r="N30" s="44" t="s">
        <v>475</v>
      </c>
      <c r="O30" s="44"/>
      <c r="P30" s="44"/>
      <c r="Q30" s="58" t="s">
        <v>1128</v>
      </c>
      <c r="R30" s="58" t="s">
        <v>1130</v>
      </c>
      <c r="U30" s="1" t="str">
        <f t="shared" si="0"/>
        <v>DIS_CLASSIFICATION_CD VARCHAR(8)   ,</v>
      </c>
      <c r="Z30" s="1" t="s">
        <v>1013</v>
      </c>
      <c r="AA30" s="1" t="str">
        <f t="shared" si="1"/>
        <v>○</v>
      </c>
      <c r="AC30" s="1" t="str">
        <f t="shared" si="2"/>
        <v>dis_classification_cd AS dis_classification_cd,</v>
      </c>
    </row>
    <row r="31" spans="1:29" ht="49.5">
      <c r="A31" s="43">
        <v>24</v>
      </c>
      <c r="B31" s="43"/>
      <c r="C31" s="43" t="s">
        <v>180</v>
      </c>
      <c r="D31" s="43" t="s">
        <v>476</v>
      </c>
      <c r="E31" s="44" t="s">
        <v>477</v>
      </c>
      <c r="F31" s="44" t="s">
        <v>478</v>
      </c>
      <c r="G31" s="43" t="s">
        <v>217</v>
      </c>
      <c r="H31" s="43"/>
      <c r="I31" s="45"/>
      <c r="J31" s="43" t="s">
        <v>479</v>
      </c>
      <c r="K31" s="44" t="s">
        <v>480</v>
      </c>
      <c r="L31" s="44" t="s">
        <v>277</v>
      </c>
      <c r="M31" s="44" t="s">
        <v>474</v>
      </c>
      <c r="N31" s="44" t="s">
        <v>481</v>
      </c>
      <c r="O31" s="44"/>
      <c r="P31" s="44"/>
      <c r="Q31" s="58" t="s">
        <v>1128</v>
      </c>
      <c r="R31" s="58" t="s">
        <v>1130</v>
      </c>
      <c r="U31" s="1" t="str">
        <f t="shared" si="0"/>
        <v>DIS_SUSPECT_CD VARCHAR(8)   ,</v>
      </c>
      <c r="Z31" s="1" t="s">
        <v>1014</v>
      </c>
      <c r="AA31" s="1" t="str">
        <f t="shared" si="1"/>
        <v>○</v>
      </c>
      <c r="AC31" s="1" t="str">
        <f t="shared" si="2"/>
        <v>dis_suspect_cd AS dis_suspect_cd,</v>
      </c>
    </row>
    <row r="32" spans="1:29" ht="49.5">
      <c r="A32" s="2">
        <v>25</v>
      </c>
      <c r="B32" s="2"/>
      <c r="C32" s="2"/>
      <c r="D32" s="2" t="s">
        <v>482</v>
      </c>
      <c r="E32" s="3" t="s">
        <v>483</v>
      </c>
      <c r="F32" s="3" t="s">
        <v>484</v>
      </c>
      <c r="G32" s="2" t="s">
        <v>355</v>
      </c>
      <c r="H32" s="2"/>
      <c r="I32" s="28" t="s">
        <v>356</v>
      </c>
      <c r="J32" s="2" t="s">
        <v>178</v>
      </c>
      <c r="K32" s="2" t="s">
        <v>178</v>
      </c>
      <c r="L32" s="2" t="s">
        <v>178</v>
      </c>
      <c r="M32" s="29"/>
      <c r="N32" s="3" t="s">
        <v>485</v>
      </c>
      <c r="O32" s="3"/>
      <c r="P32" s="3"/>
      <c r="Q32" s="2"/>
      <c r="R32" s="2"/>
      <c r="U32" s="1" t="str">
        <f t="shared" si="0"/>
        <v>DIS_START_AGE INT   ,</v>
      </c>
      <c r="Z32" s="1" t="s">
        <v>1015</v>
      </c>
      <c r="AA32" s="1" t="str">
        <f t="shared" si="1"/>
        <v>○</v>
      </c>
      <c r="AC32" s="1" t="str">
        <f t="shared" si="2"/>
        <v>dis_start_age AS dis_start_age,</v>
      </c>
    </row>
    <row r="33" spans="1:29" ht="66">
      <c r="A33" s="2">
        <v>26</v>
      </c>
      <c r="B33" s="2"/>
      <c r="C33" s="2"/>
      <c r="D33" s="2" t="s">
        <v>486</v>
      </c>
      <c r="E33" s="3" t="s">
        <v>487</v>
      </c>
      <c r="F33" s="3" t="s">
        <v>488</v>
      </c>
      <c r="G33" s="2" t="s">
        <v>355</v>
      </c>
      <c r="H33" s="2"/>
      <c r="I33" s="28" t="s">
        <v>356</v>
      </c>
      <c r="J33" s="2" t="s">
        <v>178</v>
      </c>
      <c r="K33" s="2" t="s">
        <v>178</v>
      </c>
      <c r="L33" s="2" t="s">
        <v>178</v>
      </c>
      <c r="M33" s="29"/>
      <c r="N33" s="3" t="s">
        <v>489</v>
      </c>
      <c r="O33" s="3"/>
      <c r="P33" s="3"/>
      <c r="Q33" s="2"/>
      <c r="R33" s="2"/>
      <c r="U33" s="1" t="str">
        <f t="shared" si="0"/>
        <v>DIS_START_MONTHS INT   ,</v>
      </c>
      <c r="Z33" s="1" t="s">
        <v>1016</v>
      </c>
      <c r="AA33" s="1" t="str">
        <f t="shared" si="1"/>
        <v>○</v>
      </c>
      <c r="AC33" s="1" t="str">
        <f t="shared" si="2"/>
        <v>dis_start_months AS dis_start_months,</v>
      </c>
    </row>
    <row r="34" spans="1:29" ht="66">
      <c r="A34" s="2">
        <v>27</v>
      </c>
      <c r="B34" s="2"/>
      <c r="C34" s="2"/>
      <c r="D34" s="2" t="s">
        <v>490</v>
      </c>
      <c r="E34" s="3" t="s">
        <v>491</v>
      </c>
      <c r="F34" s="3" t="s">
        <v>492</v>
      </c>
      <c r="G34" s="2" t="s">
        <v>355</v>
      </c>
      <c r="H34" s="2"/>
      <c r="I34" s="28" t="s">
        <v>356</v>
      </c>
      <c r="J34" s="2" t="s">
        <v>178</v>
      </c>
      <c r="K34" s="2" t="s">
        <v>178</v>
      </c>
      <c r="L34" s="2" t="s">
        <v>178</v>
      </c>
      <c r="M34" s="29"/>
      <c r="N34" s="3" t="s">
        <v>493</v>
      </c>
      <c r="O34" s="3"/>
      <c r="P34" s="3"/>
      <c r="Q34" s="2"/>
      <c r="R34" s="2"/>
      <c r="U34" s="1" t="str">
        <f t="shared" si="0"/>
        <v>DIS_START_DAYS INT   ,</v>
      </c>
      <c r="Z34" s="1" t="s">
        <v>1017</v>
      </c>
      <c r="AA34" s="1" t="str">
        <f t="shared" si="1"/>
        <v>○</v>
      </c>
      <c r="AC34" s="1" t="str">
        <f t="shared" si="2"/>
        <v>dis_start_days AS dis_start_days,</v>
      </c>
    </row>
    <row r="35" spans="1:29" ht="49.5">
      <c r="A35" s="2">
        <v>28</v>
      </c>
      <c r="B35" s="2"/>
      <c r="C35" s="2"/>
      <c r="D35" s="2" t="s">
        <v>494</v>
      </c>
      <c r="E35" s="3" t="s">
        <v>495</v>
      </c>
      <c r="F35" s="3" t="s">
        <v>496</v>
      </c>
      <c r="G35" s="2" t="s">
        <v>355</v>
      </c>
      <c r="H35" s="2"/>
      <c r="I35" s="28" t="s">
        <v>356</v>
      </c>
      <c r="J35" s="2" t="s">
        <v>178</v>
      </c>
      <c r="K35" s="2" t="s">
        <v>178</v>
      </c>
      <c r="L35" s="2" t="s">
        <v>178</v>
      </c>
      <c r="M35" s="29"/>
      <c r="N35" s="3" t="s">
        <v>497</v>
      </c>
      <c r="O35" s="3"/>
      <c r="P35" s="3"/>
      <c r="Q35" s="2"/>
      <c r="R35" s="2"/>
      <c r="U35" s="1" t="str">
        <f t="shared" si="0"/>
        <v>DIS_ESTABLISHED_AGE INT   ,</v>
      </c>
      <c r="Z35" s="1" t="s">
        <v>1018</v>
      </c>
      <c r="AA35" s="1" t="str">
        <f t="shared" si="1"/>
        <v>○</v>
      </c>
      <c r="AC35" s="1" t="str">
        <f t="shared" si="2"/>
        <v>dis_established_age AS dis_established_age,</v>
      </c>
    </row>
    <row r="36" spans="1:29" ht="66">
      <c r="A36" s="2">
        <v>29</v>
      </c>
      <c r="B36" s="2"/>
      <c r="C36" s="2"/>
      <c r="D36" s="2" t="s">
        <v>498</v>
      </c>
      <c r="E36" s="3" t="s">
        <v>499</v>
      </c>
      <c r="F36" s="3" t="s">
        <v>500</v>
      </c>
      <c r="G36" s="2" t="s">
        <v>355</v>
      </c>
      <c r="H36" s="2"/>
      <c r="I36" s="28" t="s">
        <v>356</v>
      </c>
      <c r="J36" s="2" t="s">
        <v>178</v>
      </c>
      <c r="K36" s="2" t="s">
        <v>178</v>
      </c>
      <c r="L36" s="2" t="s">
        <v>178</v>
      </c>
      <c r="M36" s="29"/>
      <c r="N36" s="3" t="s">
        <v>501</v>
      </c>
      <c r="O36" s="3"/>
      <c r="P36" s="3"/>
      <c r="Q36" s="2"/>
      <c r="R36" s="2"/>
      <c r="U36" s="1" t="str">
        <f t="shared" si="0"/>
        <v>DIS_ESTABLISHED_MONTHS INT   ,</v>
      </c>
      <c r="Z36" s="1" t="s">
        <v>1019</v>
      </c>
      <c r="AA36" s="1" t="str">
        <f t="shared" si="1"/>
        <v>○</v>
      </c>
      <c r="AC36" s="1" t="str">
        <f t="shared" si="2"/>
        <v>dis_established_months AS dis_established_months,</v>
      </c>
    </row>
    <row r="37" spans="1:29" ht="66">
      <c r="A37" s="2">
        <v>30</v>
      </c>
      <c r="B37" s="2"/>
      <c r="C37" s="2"/>
      <c r="D37" s="2" t="s">
        <v>502</v>
      </c>
      <c r="E37" s="3" t="s">
        <v>503</v>
      </c>
      <c r="F37" s="3" t="s">
        <v>504</v>
      </c>
      <c r="G37" s="2" t="s">
        <v>355</v>
      </c>
      <c r="H37" s="2"/>
      <c r="I37" s="28" t="s">
        <v>356</v>
      </c>
      <c r="J37" s="2" t="s">
        <v>178</v>
      </c>
      <c r="K37" s="2" t="s">
        <v>178</v>
      </c>
      <c r="L37" s="2" t="s">
        <v>178</v>
      </c>
      <c r="M37" s="29"/>
      <c r="N37" s="3" t="s">
        <v>505</v>
      </c>
      <c r="O37" s="3"/>
      <c r="P37" s="3"/>
      <c r="Q37" s="2"/>
      <c r="R37" s="2"/>
      <c r="U37" s="1" t="str">
        <f t="shared" si="0"/>
        <v>DIS_ESTABLISHED_DAYS INT   ,</v>
      </c>
      <c r="Z37" s="1" t="s">
        <v>1020</v>
      </c>
      <c r="AA37" s="1" t="str">
        <f t="shared" si="1"/>
        <v>○</v>
      </c>
      <c r="AC37" s="1" t="str">
        <f t="shared" si="2"/>
        <v>dis_established_days AS dis_established_days,</v>
      </c>
    </row>
    <row r="38" spans="1:29">
      <c r="A38" s="2">
        <v>31</v>
      </c>
      <c r="B38" s="2"/>
      <c r="C38" s="2"/>
      <c r="D38" s="2" t="s">
        <v>184</v>
      </c>
      <c r="E38" s="3" t="s">
        <v>185</v>
      </c>
      <c r="F38" s="3" t="s">
        <v>506</v>
      </c>
      <c r="G38" s="2" t="s">
        <v>187</v>
      </c>
      <c r="H38" s="2" t="s">
        <v>169</v>
      </c>
      <c r="I38" s="2" t="s">
        <v>188</v>
      </c>
      <c r="J38" s="2" t="s">
        <v>507</v>
      </c>
      <c r="K38" s="2" t="s">
        <v>508</v>
      </c>
      <c r="L38" s="2" t="s">
        <v>141</v>
      </c>
      <c r="M38" s="3"/>
      <c r="N38" s="3" t="s">
        <v>191</v>
      </c>
      <c r="O38" s="3"/>
      <c r="P38" s="3"/>
      <c r="Q38" s="2"/>
      <c r="R38" s="2"/>
      <c r="U38" s="1" t="str">
        <f t="shared" si="0"/>
        <v>DATA_UPDATE_DATE VARCHAR(16) NOT NULL  ,</v>
      </c>
      <c r="Z38" s="1" t="s">
        <v>184</v>
      </c>
      <c r="AA38" s="1" t="str">
        <f t="shared" si="1"/>
        <v>○</v>
      </c>
      <c r="AC38" s="1" t="str">
        <f t="shared" si="2"/>
        <v>data_update_date AS data_update_date,</v>
      </c>
    </row>
    <row r="39" spans="1:29">
      <c r="A39" s="2">
        <v>32</v>
      </c>
      <c r="B39" s="2"/>
      <c r="C39" s="2"/>
      <c r="D39" s="2" t="s">
        <v>192</v>
      </c>
      <c r="E39" s="3" t="s">
        <v>193</v>
      </c>
      <c r="F39" s="3" t="s">
        <v>509</v>
      </c>
      <c r="G39" s="2" t="s">
        <v>195</v>
      </c>
      <c r="H39" s="2" t="s">
        <v>169</v>
      </c>
      <c r="I39" s="2" t="s">
        <v>196</v>
      </c>
      <c r="J39" s="2" t="s">
        <v>178</v>
      </c>
      <c r="K39" s="2" t="s">
        <v>178</v>
      </c>
      <c r="L39" s="2" t="s">
        <v>178</v>
      </c>
      <c r="M39" s="3"/>
      <c r="N39" s="3"/>
      <c r="O39" s="3"/>
      <c r="P39" s="3"/>
      <c r="Q39" s="2"/>
      <c r="R39" s="2"/>
      <c r="U39" s="1" t="str">
        <f t="shared" ref="U39" si="3">D39&amp;" "&amp;G39&amp; " " &amp; H39&amp;" "  &amp; IF(G40="",""," ,")</f>
        <v xml:space="preserve">TS_TABLE_UPDATE TIMESTAMP NOT NULL </v>
      </c>
      <c r="Z39" s="1" t="s">
        <v>1021</v>
      </c>
      <c r="AA39" s="1" t="str">
        <f t="shared" si="1"/>
        <v>○</v>
      </c>
      <c r="AC39" s="1" t="str">
        <f t="shared" si="2"/>
        <v>ts_table_update AS ts_table_update,</v>
      </c>
    </row>
    <row r="40" spans="1:29">
      <c r="F40" s="21"/>
      <c r="T40" s="1" t="s">
        <v>978</v>
      </c>
    </row>
    <row r="41" spans="1:29">
      <c r="F41" s="21"/>
    </row>
    <row r="42" spans="1:29">
      <c r="F42" s="21"/>
    </row>
    <row r="43" spans="1:29">
      <c r="F43" s="21"/>
    </row>
    <row r="44" spans="1:29">
      <c r="F44" s="21"/>
    </row>
    <row r="45" spans="1:29">
      <c r="F45" s="21"/>
    </row>
    <row r="46" spans="1:29">
      <c r="F46" s="21"/>
    </row>
    <row r="47" spans="1:29">
      <c r="F47" s="21"/>
    </row>
    <row r="48" spans="1:29">
      <c r="F48" s="21"/>
    </row>
    <row r="49" spans="6:6">
      <c r="F49" s="21"/>
    </row>
    <row r="50" spans="6:6">
      <c r="F50" s="21"/>
    </row>
    <row r="51" spans="6:6">
      <c r="F51" s="21"/>
    </row>
    <row r="52" spans="6:6">
      <c r="F52" s="21"/>
    </row>
    <row r="53" spans="6:6">
      <c r="F53" s="21"/>
    </row>
  </sheetData>
  <autoFilter ref="A7:AA39" xr:uid="{00000000-0001-0000-0400-000000000000}"/>
  <phoneticPr fontId="4"/>
  <pageMargins left="0.23622047244094491" right="0.23622047244094491" top="0.55118110236220474" bottom="0.55118110236220474" header="0.31496062992125984" footer="0.31496062992125984"/>
  <pageSetup paperSize="9" scale="66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AC51"/>
  <sheetViews>
    <sheetView zoomScale="80" zoomScaleNormal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ColWidth="8.85546875" defaultRowHeight="16.5"/>
  <cols>
    <col min="1" max="1" width="6.140625" style="1" customWidth="1"/>
    <col min="2" max="3" width="9.28515625" style="1" customWidth="1"/>
    <col min="4" max="4" width="33.5703125" style="1" customWidth="1"/>
    <col min="5" max="5" width="24.140625" style="21" bestFit="1" customWidth="1"/>
    <col min="6" max="6" width="55.140625" style="1" customWidth="1"/>
    <col min="7" max="7" width="15.28515625" style="1" bestFit="1" customWidth="1"/>
    <col min="8" max="8" width="13.28515625" style="1" bestFit="1" customWidth="1"/>
    <col min="9" max="9" width="20.85546875" style="1" customWidth="1"/>
    <col min="10" max="10" width="8.85546875" style="1"/>
    <col min="11" max="11" width="10" style="1" customWidth="1"/>
    <col min="12" max="12" width="6" style="1" bestFit="1" customWidth="1"/>
    <col min="13" max="13" width="14.140625" style="21" customWidth="1"/>
    <col min="14" max="14" width="46" style="1" customWidth="1"/>
    <col min="15" max="15" width="13.85546875" style="1" customWidth="1"/>
    <col min="16" max="16" width="46.140625" style="1" customWidth="1"/>
    <col min="17" max="17" width="45.85546875" style="21" customWidth="1"/>
    <col min="18" max="18" width="25.28515625" style="1" customWidth="1"/>
    <col min="19" max="25" width="8.85546875" style="1"/>
    <col min="26" max="26" width="28.140625" style="1" bestFit="1" customWidth="1"/>
    <col min="27" max="16384" width="8.85546875" style="1"/>
  </cols>
  <sheetData>
    <row r="1" spans="1:29">
      <c r="A1" s="15" t="s">
        <v>151</v>
      </c>
      <c r="B1" s="16"/>
      <c r="C1" s="13">
        <v>6</v>
      </c>
      <c r="D1" s="9"/>
      <c r="E1" s="22" t="s">
        <v>152</v>
      </c>
      <c r="F1" s="17" t="s">
        <v>510</v>
      </c>
      <c r="G1" s="14"/>
      <c r="H1" s="14"/>
      <c r="I1" s="14"/>
      <c r="J1" s="14"/>
      <c r="K1" s="14"/>
      <c r="L1" s="14"/>
      <c r="M1" s="14"/>
      <c r="N1" s="9"/>
      <c r="O1" s="14"/>
      <c r="P1" s="9"/>
    </row>
    <row r="2" spans="1:29">
      <c r="A2" s="15" t="s">
        <v>154</v>
      </c>
      <c r="B2" s="16"/>
      <c r="C2" s="13"/>
      <c r="D2" s="34">
        <v>45190</v>
      </c>
      <c r="E2" s="23" t="s">
        <v>155</v>
      </c>
      <c r="F2" s="10" t="s">
        <v>511</v>
      </c>
      <c r="G2" s="11"/>
      <c r="H2" s="11"/>
      <c r="I2" s="11"/>
      <c r="J2" s="11"/>
      <c r="K2" s="11"/>
      <c r="M2" s="11"/>
      <c r="N2" s="4"/>
      <c r="O2" s="11"/>
      <c r="P2" s="4"/>
    </row>
    <row r="3" spans="1:29">
      <c r="A3" s="15" t="s">
        <v>157</v>
      </c>
      <c r="B3" s="16"/>
      <c r="C3" s="13"/>
      <c r="D3" s="34">
        <v>45519</v>
      </c>
      <c r="E3" s="24"/>
      <c r="F3" s="5" t="s">
        <v>512</v>
      </c>
      <c r="M3" s="1"/>
      <c r="N3" s="6"/>
      <c r="P3" s="6"/>
    </row>
    <row r="4" spans="1:29">
      <c r="A4" s="15" t="s">
        <v>159</v>
      </c>
      <c r="B4" s="16"/>
      <c r="C4" s="13"/>
      <c r="D4" s="9"/>
      <c r="E4" s="24"/>
      <c r="F4" s="5" t="s">
        <v>513</v>
      </c>
      <c r="M4" s="1"/>
      <c r="N4" s="6"/>
      <c r="P4" s="6"/>
    </row>
    <row r="5" spans="1:29">
      <c r="A5" s="15" t="s">
        <v>161</v>
      </c>
      <c r="B5" s="16"/>
      <c r="C5" s="13"/>
      <c r="D5" s="9"/>
      <c r="E5" s="25"/>
      <c r="F5" s="7" t="s">
        <v>514</v>
      </c>
      <c r="G5" s="12"/>
      <c r="H5" s="12"/>
      <c r="I5" s="12"/>
      <c r="J5" s="12"/>
      <c r="K5" s="12"/>
      <c r="L5" s="12"/>
      <c r="M5" s="12"/>
      <c r="N5" s="8"/>
      <c r="O5" s="12"/>
      <c r="P5" s="8"/>
    </row>
    <row r="6" spans="1:29">
      <c r="E6" s="1"/>
      <c r="M6" s="1"/>
      <c r="O6" s="12"/>
      <c r="P6" s="8"/>
      <c r="Z6" s="1" t="s">
        <v>1022</v>
      </c>
    </row>
    <row r="7" spans="1:29">
      <c r="A7" s="15" t="s">
        <v>13</v>
      </c>
      <c r="B7" s="15" t="s">
        <v>37</v>
      </c>
      <c r="C7" s="15" t="s">
        <v>40</v>
      </c>
      <c r="D7" s="15" t="s">
        <v>43</v>
      </c>
      <c r="E7" s="20" t="s">
        <v>46</v>
      </c>
      <c r="F7" s="15" t="s">
        <v>48</v>
      </c>
      <c r="G7" s="15" t="s">
        <v>50</v>
      </c>
      <c r="H7" s="15" t="s">
        <v>52</v>
      </c>
      <c r="I7" s="15" t="s">
        <v>54</v>
      </c>
      <c r="J7" s="15" t="s">
        <v>57</v>
      </c>
      <c r="K7" s="20" t="s">
        <v>59</v>
      </c>
      <c r="L7" s="20" t="s">
        <v>61</v>
      </c>
      <c r="M7" s="20" t="s">
        <v>163</v>
      </c>
      <c r="N7" s="15" t="s">
        <v>65</v>
      </c>
      <c r="O7" s="30" t="s">
        <v>67</v>
      </c>
      <c r="P7" s="30" t="s">
        <v>69</v>
      </c>
      <c r="Q7" s="53" t="s">
        <v>979</v>
      </c>
      <c r="R7" s="42" t="s">
        <v>980</v>
      </c>
      <c r="T7" s="1" t="s">
        <v>1023</v>
      </c>
    </row>
    <row r="8" spans="1:29">
      <c r="A8" s="2">
        <v>1</v>
      </c>
      <c r="B8" s="2" t="s">
        <v>203</v>
      </c>
      <c r="C8" s="2"/>
      <c r="D8" s="2" t="s">
        <v>515</v>
      </c>
      <c r="E8" s="3" t="s">
        <v>256</v>
      </c>
      <c r="F8" s="3" t="s">
        <v>516</v>
      </c>
      <c r="G8" s="2" t="s">
        <v>207</v>
      </c>
      <c r="H8" s="2" t="s">
        <v>169</v>
      </c>
      <c r="I8" s="28" t="s">
        <v>170</v>
      </c>
      <c r="J8" s="2" t="s">
        <v>178</v>
      </c>
      <c r="K8" s="2" t="s">
        <v>178</v>
      </c>
      <c r="L8" s="2" t="s">
        <v>178</v>
      </c>
      <c r="M8" s="3"/>
      <c r="N8" s="3"/>
      <c r="O8" s="3"/>
      <c r="P8" s="3"/>
      <c r="Q8" s="3"/>
      <c r="R8" s="2"/>
      <c r="U8" s="1" t="str">
        <f t="shared" ref="U8:U36" si="0">D8&amp;" "&amp;G8&amp; " " &amp; H8&amp;" "  &amp; IF(G9="",""," ,")</f>
        <v>OBX_UNIQUE_ID SERIAL NOT NULL  ,</v>
      </c>
      <c r="Z8" s="1" t="s">
        <v>1029</v>
      </c>
      <c r="AA8" s="1" t="str">
        <f>IF(Z8=D8,"○","×")</f>
        <v>○</v>
      </c>
      <c r="AC8" s="1" t="str">
        <f>LOWER(D8)&amp;" AS "&amp;LOWER(D8)&amp;","</f>
        <v>obx_unique_id AS obx_unique_id,</v>
      </c>
    </row>
    <row r="9" spans="1:29" ht="33">
      <c r="A9" s="43">
        <v>2</v>
      </c>
      <c r="B9" s="43"/>
      <c r="C9" s="43" t="s">
        <v>180</v>
      </c>
      <c r="D9" s="47" t="s">
        <v>181</v>
      </c>
      <c r="E9" s="44" t="s">
        <v>182</v>
      </c>
      <c r="F9" s="44" t="s">
        <v>517</v>
      </c>
      <c r="G9" s="43" t="s">
        <v>168</v>
      </c>
      <c r="H9" s="43" t="s">
        <v>169</v>
      </c>
      <c r="I9" s="45" t="s">
        <v>170</v>
      </c>
      <c r="J9" s="43" t="s">
        <v>171</v>
      </c>
      <c r="K9" s="43" t="s">
        <v>172</v>
      </c>
      <c r="L9" s="44" t="s">
        <v>173</v>
      </c>
      <c r="M9" s="44" t="s">
        <v>179</v>
      </c>
      <c r="N9" s="44"/>
      <c r="O9" s="44"/>
      <c r="P9" s="44"/>
      <c r="Q9" s="44" t="s">
        <v>1024</v>
      </c>
      <c r="R9" s="43"/>
      <c r="U9" s="1" t="str">
        <f t="shared" si="0"/>
        <v>PATIENT_ID VARCHAR(64) NOT NULL  ,</v>
      </c>
      <c r="Z9" s="1" t="s">
        <v>997</v>
      </c>
      <c r="AA9" s="1" t="str">
        <f t="shared" ref="AA9:AA44" si="1">IF(Z9=D9,"○","×")</f>
        <v>×</v>
      </c>
      <c r="AC9" s="1" t="str">
        <f t="shared" ref="AC9:AC44" si="2">LOWER(D9)&amp;" AS "&amp;LOWER(D9)&amp;","</f>
        <v>patient_id AS patient_id,</v>
      </c>
    </row>
    <row r="10" spans="1:29" ht="33">
      <c r="A10" s="43">
        <v>3</v>
      </c>
      <c r="B10" s="43"/>
      <c r="C10" s="43"/>
      <c r="D10" s="44" t="s">
        <v>294</v>
      </c>
      <c r="E10" s="44" t="s">
        <v>295</v>
      </c>
      <c r="F10" s="44" t="s">
        <v>518</v>
      </c>
      <c r="G10" s="43" t="s">
        <v>217</v>
      </c>
      <c r="H10" s="43"/>
      <c r="I10" s="45" t="s">
        <v>170</v>
      </c>
      <c r="J10" s="45" t="s">
        <v>170</v>
      </c>
      <c r="K10" s="45" t="s">
        <v>170</v>
      </c>
      <c r="L10" s="44" t="s">
        <v>277</v>
      </c>
      <c r="M10" s="44"/>
      <c r="N10" s="44"/>
      <c r="O10" s="44"/>
      <c r="P10" s="44"/>
      <c r="Q10" s="44" t="s">
        <v>1156</v>
      </c>
      <c r="R10" s="43"/>
      <c r="U10" s="1" t="str">
        <f t="shared" si="0"/>
        <v>DEPT_CD_S VARCHAR(8)   ,</v>
      </c>
      <c r="AA10" s="1" t="str">
        <f t="shared" si="1"/>
        <v>×</v>
      </c>
      <c r="AC10" s="1" t="str">
        <f t="shared" si="2"/>
        <v>dept_cd_s AS dept_cd_s,</v>
      </c>
    </row>
    <row r="11" spans="1:29" ht="49.5">
      <c r="A11" s="2">
        <v>4</v>
      </c>
      <c r="B11" s="2"/>
      <c r="C11" s="2"/>
      <c r="D11" s="3" t="s">
        <v>298</v>
      </c>
      <c r="E11" s="3" t="s">
        <v>299</v>
      </c>
      <c r="F11" s="3" t="s">
        <v>519</v>
      </c>
      <c r="G11" s="2" t="s">
        <v>289</v>
      </c>
      <c r="H11" s="2"/>
      <c r="I11" s="28"/>
      <c r="J11" s="2" t="s">
        <v>376</v>
      </c>
      <c r="K11" s="3" t="s">
        <v>377</v>
      </c>
      <c r="L11" s="3" t="s">
        <v>277</v>
      </c>
      <c r="M11" s="3"/>
      <c r="N11" s="3"/>
      <c r="O11" s="3"/>
      <c r="P11" s="3"/>
      <c r="Q11" s="3"/>
      <c r="R11" s="2"/>
      <c r="U11" s="1" t="str">
        <f t="shared" si="0"/>
        <v>DEPT_CD_L TEXT   ,</v>
      </c>
      <c r="Z11" s="1" t="s">
        <v>998</v>
      </c>
      <c r="AA11" s="1" t="str">
        <f t="shared" si="1"/>
        <v>○</v>
      </c>
      <c r="AC11" s="1" t="str">
        <f t="shared" si="2"/>
        <v>dept_cd_l AS dept_cd_l,</v>
      </c>
    </row>
    <row r="12" spans="1:29" ht="49.5">
      <c r="A12" s="2">
        <v>5</v>
      </c>
      <c r="B12" s="2"/>
      <c r="C12" s="2"/>
      <c r="D12" s="3" t="s">
        <v>379</v>
      </c>
      <c r="E12" s="3" t="s">
        <v>380</v>
      </c>
      <c r="F12" s="3" t="s">
        <v>520</v>
      </c>
      <c r="G12" s="2" t="s">
        <v>289</v>
      </c>
      <c r="H12" s="2"/>
      <c r="I12" s="28"/>
      <c r="J12" s="2" t="s">
        <v>376</v>
      </c>
      <c r="K12" s="3" t="s">
        <v>382</v>
      </c>
      <c r="L12" s="3" t="s">
        <v>277</v>
      </c>
      <c r="M12" s="3"/>
      <c r="N12" s="3"/>
      <c r="O12" s="3"/>
      <c r="P12" s="3"/>
      <c r="Q12" s="3"/>
      <c r="R12" s="2"/>
      <c r="U12" s="1" t="str">
        <f t="shared" si="0"/>
        <v>DEPT_NAME_L TEXT   ,</v>
      </c>
      <c r="Z12" s="1" t="s">
        <v>999</v>
      </c>
      <c r="AA12" s="1" t="str">
        <f t="shared" si="1"/>
        <v>○</v>
      </c>
      <c r="AC12" s="1" t="str">
        <f t="shared" si="2"/>
        <v>dept_name_l AS dept_name_l,</v>
      </c>
    </row>
    <row r="13" spans="1:29" ht="33">
      <c r="A13" s="2">
        <v>6</v>
      </c>
      <c r="B13" s="2" t="s">
        <v>135</v>
      </c>
      <c r="C13" s="2" t="s">
        <v>180</v>
      </c>
      <c r="D13" s="2" t="s">
        <v>521</v>
      </c>
      <c r="E13" s="3" t="s">
        <v>522</v>
      </c>
      <c r="F13" s="3" t="s">
        <v>523</v>
      </c>
      <c r="G13" s="2" t="s">
        <v>168</v>
      </c>
      <c r="H13" s="2" t="s">
        <v>169</v>
      </c>
      <c r="I13" s="28" t="s">
        <v>170</v>
      </c>
      <c r="J13" s="2" t="s">
        <v>524</v>
      </c>
      <c r="K13" s="2" t="s">
        <v>525</v>
      </c>
      <c r="L13" s="3" t="s">
        <v>173</v>
      </c>
      <c r="M13" s="3"/>
      <c r="N13" s="3"/>
      <c r="O13" s="3"/>
      <c r="P13" s="3"/>
      <c r="Q13" s="3"/>
      <c r="R13" s="2"/>
      <c r="U13" s="1" t="str">
        <f t="shared" si="0"/>
        <v>PLACER_ORDER_NO VARCHAR(64) NOT NULL  ,</v>
      </c>
      <c r="Z13" s="1" t="s">
        <v>1030</v>
      </c>
      <c r="AA13" s="1" t="str">
        <f t="shared" si="1"/>
        <v>○</v>
      </c>
      <c r="AC13" s="1" t="str">
        <f t="shared" si="2"/>
        <v>placer_order_no AS placer_order_no,</v>
      </c>
    </row>
    <row r="14" spans="1:29">
      <c r="A14" s="2">
        <v>7</v>
      </c>
      <c r="B14" s="2"/>
      <c r="C14" s="2" t="s">
        <v>180</v>
      </c>
      <c r="D14" s="2" t="s">
        <v>526</v>
      </c>
      <c r="E14" s="3" t="s">
        <v>527</v>
      </c>
      <c r="F14" s="3" t="s">
        <v>528</v>
      </c>
      <c r="G14" s="2" t="s">
        <v>168</v>
      </c>
      <c r="H14" s="2"/>
      <c r="I14" s="28" t="s">
        <v>170</v>
      </c>
      <c r="J14" s="2" t="s">
        <v>529</v>
      </c>
      <c r="K14" s="2" t="s">
        <v>530</v>
      </c>
      <c r="L14" s="3" t="s">
        <v>143</v>
      </c>
      <c r="M14" s="3"/>
      <c r="N14" s="3"/>
      <c r="O14" s="3"/>
      <c r="P14" s="3"/>
      <c r="Q14" s="3"/>
      <c r="R14" s="2"/>
      <c r="U14" s="1" t="str">
        <f t="shared" si="0"/>
        <v>FILLER_ORDER_NO VARCHAR(64)   ,</v>
      </c>
      <c r="Z14" s="1" t="s">
        <v>1031</v>
      </c>
      <c r="AA14" s="1" t="str">
        <f t="shared" si="1"/>
        <v>○</v>
      </c>
      <c r="AC14" s="1" t="str">
        <f t="shared" si="2"/>
        <v>filler_order_no AS filler_order_no,</v>
      </c>
    </row>
    <row r="15" spans="1:29">
      <c r="A15" s="2">
        <v>8</v>
      </c>
      <c r="B15" s="2"/>
      <c r="C15" s="2" t="s">
        <v>180</v>
      </c>
      <c r="D15" s="2" t="s">
        <v>531</v>
      </c>
      <c r="E15" s="3" t="s">
        <v>532</v>
      </c>
      <c r="F15" s="3" t="s">
        <v>533</v>
      </c>
      <c r="G15" s="2" t="s">
        <v>168</v>
      </c>
      <c r="H15" s="2"/>
      <c r="I15" s="28" t="s">
        <v>170</v>
      </c>
      <c r="J15" s="2" t="s">
        <v>534</v>
      </c>
      <c r="K15" s="2" t="s">
        <v>535</v>
      </c>
      <c r="L15" s="3" t="s">
        <v>143</v>
      </c>
      <c r="M15" s="3"/>
      <c r="N15" s="3"/>
      <c r="O15" s="3"/>
      <c r="P15" s="3"/>
      <c r="Q15" s="3"/>
      <c r="R15" s="2"/>
      <c r="U15" s="1" t="str">
        <f t="shared" si="0"/>
        <v>SPM_ID VARCHAR(64)   ,</v>
      </c>
      <c r="Z15" s="1" t="s">
        <v>1032</v>
      </c>
      <c r="AA15" s="1" t="str">
        <f t="shared" si="1"/>
        <v>○</v>
      </c>
      <c r="AC15" s="1" t="str">
        <f t="shared" si="2"/>
        <v>spm_id AS spm_id,</v>
      </c>
    </row>
    <row r="16" spans="1:29">
      <c r="A16" s="2">
        <v>9</v>
      </c>
      <c r="B16" s="2"/>
      <c r="C16" s="2"/>
      <c r="D16" s="2" t="s">
        <v>536</v>
      </c>
      <c r="E16" s="3" t="s">
        <v>537</v>
      </c>
      <c r="F16" s="3" t="s">
        <v>538</v>
      </c>
      <c r="G16" s="2" t="s">
        <v>539</v>
      </c>
      <c r="H16" s="2"/>
      <c r="I16" s="28" t="s">
        <v>170</v>
      </c>
      <c r="J16" s="2" t="s">
        <v>540</v>
      </c>
      <c r="K16" s="2" t="s">
        <v>541</v>
      </c>
      <c r="L16" s="3" t="s">
        <v>277</v>
      </c>
      <c r="M16" s="3"/>
      <c r="N16" s="3"/>
      <c r="O16" s="3"/>
      <c r="P16" s="3"/>
      <c r="Q16" s="3"/>
      <c r="R16" s="2"/>
      <c r="U16" s="1" t="str">
        <f t="shared" si="0"/>
        <v>OBX_SET_ID VARCHAR(32)   ,</v>
      </c>
      <c r="Z16" s="1" t="s">
        <v>1033</v>
      </c>
      <c r="AA16" s="1" t="str">
        <f t="shared" si="1"/>
        <v>○</v>
      </c>
      <c r="AC16" s="1" t="str">
        <f t="shared" si="2"/>
        <v>obx_set_id AS obx_set_id,</v>
      </c>
    </row>
    <row r="17" spans="1:29">
      <c r="A17" s="2">
        <v>10</v>
      </c>
      <c r="B17" s="2"/>
      <c r="C17" s="2"/>
      <c r="D17" s="2" t="s">
        <v>542</v>
      </c>
      <c r="E17" s="3" t="s">
        <v>543</v>
      </c>
      <c r="F17" s="3" t="s">
        <v>544</v>
      </c>
      <c r="G17" s="2" t="s">
        <v>539</v>
      </c>
      <c r="H17" s="2"/>
      <c r="I17" s="28"/>
      <c r="J17" s="2" t="s">
        <v>545</v>
      </c>
      <c r="K17" s="2" t="s">
        <v>546</v>
      </c>
      <c r="L17" s="3" t="s">
        <v>277</v>
      </c>
      <c r="M17" s="3"/>
      <c r="N17" s="3"/>
      <c r="O17" s="2"/>
      <c r="P17" s="2"/>
      <c r="Q17" s="3"/>
      <c r="R17" s="2"/>
      <c r="U17" s="1" t="str">
        <f t="shared" si="0"/>
        <v>OBX_SUB_ID VARCHAR(32)   ,</v>
      </c>
      <c r="Z17" s="1" t="s">
        <v>1034</v>
      </c>
      <c r="AA17" s="1" t="str">
        <f t="shared" si="1"/>
        <v>○</v>
      </c>
      <c r="AC17" s="1" t="str">
        <f t="shared" si="2"/>
        <v>obx_sub_id AS obx_sub_id,</v>
      </c>
    </row>
    <row r="18" spans="1:29" ht="66">
      <c r="A18" s="2">
        <v>11</v>
      </c>
      <c r="B18" s="2"/>
      <c r="C18" s="2"/>
      <c r="D18" s="2" t="s">
        <v>547</v>
      </c>
      <c r="E18" s="3" t="s">
        <v>548</v>
      </c>
      <c r="F18" s="3" t="s">
        <v>549</v>
      </c>
      <c r="G18" s="2" t="s">
        <v>217</v>
      </c>
      <c r="H18" s="2"/>
      <c r="I18" s="2"/>
      <c r="J18" s="2" t="s">
        <v>550</v>
      </c>
      <c r="K18" s="3" t="s">
        <v>551</v>
      </c>
      <c r="L18" s="3" t="s">
        <v>173</v>
      </c>
      <c r="M18" s="3" t="s">
        <v>552</v>
      </c>
      <c r="N18" s="2" t="s">
        <v>230</v>
      </c>
      <c r="O18" s="3"/>
      <c r="P18" s="3"/>
      <c r="Q18" s="3"/>
      <c r="R18" s="2"/>
      <c r="U18" s="1" t="str">
        <f t="shared" si="0"/>
        <v>SPM_COLLECT_DATE VARCHAR(8)   ,</v>
      </c>
      <c r="Z18" s="1" t="s">
        <v>1035</v>
      </c>
      <c r="AA18" s="1" t="str">
        <f t="shared" si="1"/>
        <v>○</v>
      </c>
      <c r="AC18" s="1" t="str">
        <f t="shared" si="2"/>
        <v>spm_collect_date AS spm_collect_date,</v>
      </c>
    </row>
    <row r="19" spans="1:29" ht="66">
      <c r="A19" s="43">
        <v>12</v>
      </c>
      <c r="B19" s="43"/>
      <c r="C19" s="43"/>
      <c r="D19" s="43" t="s">
        <v>553</v>
      </c>
      <c r="E19" s="44" t="s">
        <v>554</v>
      </c>
      <c r="F19" s="44" t="s">
        <v>555</v>
      </c>
      <c r="G19" s="43" t="s">
        <v>217</v>
      </c>
      <c r="H19" s="43"/>
      <c r="I19" s="45"/>
      <c r="J19" s="43" t="s">
        <v>550</v>
      </c>
      <c r="K19" s="44" t="s">
        <v>551</v>
      </c>
      <c r="L19" s="44" t="s">
        <v>556</v>
      </c>
      <c r="M19" s="44" t="s">
        <v>557</v>
      </c>
      <c r="N19" s="44" t="s">
        <v>314</v>
      </c>
      <c r="O19" s="44"/>
      <c r="P19" s="44"/>
      <c r="Q19" s="44" t="s">
        <v>1134</v>
      </c>
      <c r="R19" s="43"/>
      <c r="U19" s="1" t="str">
        <f t="shared" si="0"/>
        <v>SPM_COLLECT_TIME VARCHAR(8)   ,</v>
      </c>
      <c r="Z19" s="1" t="s">
        <v>1036</v>
      </c>
      <c r="AA19" s="1" t="str">
        <f t="shared" si="1"/>
        <v>○</v>
      </c>
      <c r="AC19" s="1" t="str">
        <f t="shared" si="2"/>
        <v>spm_collect_time AS spm_collect_time,</v>
      </c>
    </row>
    <row r="20" spans="1:29" ht="69.95" customHeight="1">
      <c r="A20" s="43">
        <v>13</v>
      </c>
      <c r="B20" s="43"/>
      <c r="C20" s="43" t="s">
        <v>180</v>
      </c>
      <c r="D20" s="43" t="s">
        <v>558</v>
      </c>
      <c r="E20" s="44" t="s">
        <v>559</v>
      </c>
      <c r="F20" s="44" t="s">
        <v>560</v>
      </c>
      <c r="G20" s="43" t="s">
        <v>103</v>
      </c>
      <c r="H20" s="43" t="s">
        <v>169</v>
      </c>
      <c r="I20" s="43" t="s">
        <v>234</v>
      </c>
      <c r="J20" s="43" t="s">
        <v>178</v>
      </c>
      <c r="K20" s="43" t="s">
        <v>178</v>
      </c>
      <c r="L20" s="43" t="s">
        <v>178</v>
      </c>
      <c r="M20" s="46" t="s">
        <v>178</v>
      </c>
      <c r="N20" s="44"/>
      <c r="O20" s="44"/>
      <c r="P20" s="44"/>
      <c r="Q20" s="44" t="s">
        <v>1133</v>
      </c>
      <c r="R20" s="43"/>
      <c r="U20" s="1" t="str">
        <f t="shared" si="0"/>
        <v>SCH_SPM_COLLECT_DATE DATE NOT NULL  ,</v>
      </c>
      <c r="Z20" s="1" t="s">
        <v>1037</v>
      </c>
      <c r="AA20" s="1" t="str">
        <f t="shared" si="1"/>
        <v>○</v>
      </c>
      <c r="AC20" s="1" t="str">
        <f t="shared" si="2"/>
        <v>sch_spm_collect_date AS sch_spm_collect_date,</v>
      </c>
    </row>
    <row r="21" spans="1:29" ht="49.5">
      <c r="A21" s="43">
        <v>14</v>
      </c>
      <c r="B21" s="43"/>
      <c r="C21" s="43" t="s">
        <v>180</v>
      </c>
      <c r="D21" s="47" t="s">
        <v>561</v>
      </c>
      <c r="E21" s="51" t="s">
        <v>562</v>
      </c>
      <c r="F21" s="51" t="s">
        <v>563</v>
      </c>
      <c r="G21" s="47" t="s">
        <v>539</v>
      </c>
      <c r="H21" s="47"/>
      <c r="I21" s="47"/>
      <c r="J21" s="47" t="s">
        <v>178</v>
      </c>
      <c r="K21" s="47" t="s">
        <v>178</v>
      </c>
      <c r="L21" s="51" t="s">
        <v>556</v>
      </c>
      <c r="M21" s="44" t="s">
        <v>1120</v>
      </c>
      <c r="N21" s="44"/>
      <c r="O21" s="44"/>
      <c r="P21" s="44"/>
      <c r="Q21" s="44" t="s">
        <v>1135</v>
      </c>
      <c r="R21" s="43" t="s">
        <v>1138</v>
      </c>
      <c r="U21" s="1" t="str">
        <f t="shared" si="0"/>
        <v>OBX_CD_S VARCHAR(32)   ,</v>
      </c>
      <c r="AA21" s="1" t="str">
        <f t="shared" si="1"/>
        <v>×</v>
      </c>
      <c r="AC21" s="1" t="str">
        <f t="shared" si="2"/>
        <v>obx_cd_s AS obx_cd_s,</v>
      </c>
    </row>
    <row r="22" spans="1:29" ht="49.5">
      <c r="A22" s="43">
        <v>15</v>
      </c>
      <c r="B22" s="43"/>
      <c r="C22" s="43"/>
      <c r="D22" s="47" t="s">
        <v>565</v>
      </c>
      <c r="E22" s="51" t="s">
        <v>566</v>
      </c>
      <c r="F22" s="51" t="s">
        <v>567</v>
      </c>
      <c r="G22" s="47" t="s">
        <v>289</v>
      </c>
      <c r="H22" s="47"/>
      <c r="I22" s="47"/>
      <c r="J22" s="47" t="s">
        <v>178</v>
      </c>
      <c r="K22" s="47" t="s">
        <v>178</v>
      </c>
      <c r="L22" s="51" t="s">
        <v>556</v>
      </c>
      <c r="M22" s="44" t="s">
        <v>564</v>
      </c>
      <c r="N22" s="44"/>
      <c r="O22" s="44"/>
      <c r="P22" s="44"/>
      <c r="Q22" s="44" t="s">
        <v>1025</v>
      </c>
      <c r="R22" s="43"/>
      <c r="U22" s="1" t="str">
        <f t="shared" si="0"/>
        <v>OBX_NAME_S TEXT   ,</v>
      </c>
      <c r="AA22" s="1" t="str">
        <f t="shared" si="1"/>
        <v>×</v>
      </c>
      <c r="AC22" s="1" t="str">
        <f t="shared" si="2"/>
        <v>obx_name_s AS obx_name_s,</v>
      </c>
    </row>
    <row r="23" spans="1:29" ht="49.5">
      <c r="A23" s="2">
        <v>16</v>
      </c>
      <c r="B23" s="2" t="s">
        <v>135</v>
      </c>
      <c r="C23" s="2" t="s">
        <v>180</v>
      </c>
      <c r="D23" s="2" t="s">
        <v>568</v>
      </c>
      <c r="E23" s="3" t="s">
        <v>569</v>
      </c>
      <c r="F23" s="3" t="s">
        <v>570</v>
      </c>
      <c r="G23" s="2" t="s">
        <v>539</v>
      </c>
      <c r="H23" s="2" t="s">
        <v>169</v>
      </c>
      <c r="I23" s="28" t="s">
        <v>170</v>
      </c>
      <c r="J23" s="2" t="s">
        <v>571</v>
      </c>
      <c r="K23" s="3" t="s">
        <v>572</v>
      </c>
      <c r="L23" s="3" t="s">
        <v>173</v>
      </c>
      <c r="M23" s="3"/>
      <c r="N23" s="3"/>
      <c r="O23" s="3"/>
      <c r="P23" s="3"/>
      <c r="Q23" s="3"/>
      <c r="R23" s="2"/>
      <c r="U23" s="1" t="str">
        <f t="shared" si="0"/>
        <v>OBX_CD_L VARCHAR(32) NOT NULL  ,</v>
      </c>
      <c r="Z23" s="1" t="s">
        <v>1038</v>
      </c>
      <c r="AA23" s="1" t="str">
        <f t="shared" si="1"/>
        <v>○</v>
      </c>
      <c r="AC23" s="1" t="str">
        <f t="shared" si="2"/>
        <v>obx_cd_l AS obx_cd_l,</v>
      </c>
    </row>
    <row r="24" spans="1:29" ht="49.5">
      <c r="A24" s="43">
        <v>17</v>
      </c>
      <c r="B24" s="43"/>
      <c r="C24" s="43" t="s">
        <v>180</v>
      </c>
      <c r="D24" s="43" t="s">
        <v>573</v>
      </c>
      <c r="E24" s="44" t="s">
        <v>574</v>
      </c>
      <c r="F24" s="44" t="s">
        <v>575</v>
      </c>
      <c r="G24" s="43" t="s">
        <v>289</v>
      </c>
      <c r="H24" s="43" t="s">
        <v>169</v>
      </c>
      <c r="I24" s="45" t="s">
        <v>170</v>
      </c>
      <c r="J24" s="43" t="s">
        <v>576</v>
      </c>
      <c r="K24" s="44" t="s">
        <v>577</v>
      </c>
      <c r="L24" s="44" t="s">
        <v>173</v>
      </c>
      <c r="M24" s="44"/>
      <c r="N24" s="44"/>
      <c r="O24" s="44"/>
      <c r="P24" s="44"/>
      <c r="Q24" s="44" t="s">
        <v>1025</v>
      </c>
      <c r="R24" s="43"/>
      <c r="U24" s="1" t="str">
        <f t="shared" si="0"/>
        <v>OBX_NAME_L TEXT NOT NULL  ,</v>
      </c>
      <c r="Z24" s="1" t="s">
        <v>1039</v>
      </c>
      <c r="AA24" s="1" t="str">
        <f t="shared" si="1"/>
        <v>○</v>
      </c>
      <c r="AC24" s="1" t="str">
        <f t="shared" si="2"/>
        <v>obx_name_l AS obx_name_l,</v>
      </c>
    </row>
    <row r="25" spans="1:29" ht="49.5">
      <c r="A25" s="43">
        <v>18</v>
      </c>
      <c r="B25" s="43"/>
      <c r="C25" s="43" t="s">
        <v>180</v>
      </c>
      <c r="D25" s="47" t="s">
        <v>578</v>
      </c>
      <c r="E25" s="51" t="s">
        <v>579</v>
      </c>
      <c r="F25" s="51" t="s">
        <v>580</v>
      </c>
      <c r="G25" s="47" t="s">
        <v>539</v>
      </c>
      <c r="H25" s="47"/>
      <c r="I25" s="52"/>
      <c r="J25" s="47" t="s">
        <v>178</v>
      </c>
      <c r="K25" s="47" t="s">
        <v>178</v>
      </c>
      <c r="L25" s="44" t="s">
        <v>556</v>
      </c>
      <c r="M25" s="44"/>
      <c r="N25" s="44"/>
      <c r="O25" s="44"/>
      <c r="P25" s="44"/>
      <c r="Q25" s="44" t="s">
        <v>1157</v>
      </c>
      <c r="R25" s="43" t="s">
        <v>1137</v>
      </c>
      <c r="U25" s="1" t="str">
        <f t="shared" si="0"/>
        <v>SPM_CD_S VARCHAR(32)   ,</v>
      </c>
      <c r="AA25" s="1" t="str">
        <f t="shared" si="1"/>
        <v>×</v>
      </c>
      <c r="AC25" s="1" t="str">
        <f t="shared" si="2"/>
        <v>spm_cd_s AS spm_cd_s,</v>
      </c>
    </row>
    <row r="26" spans="1:29" ht="49.5">
      <c r="A26" s="43">
        <v>19</v>
      </c>
      <c r="B26" s="43"/>
      <c r="C26" s="43"/>
      <c r="D26" s="47" t="s">
        <v>581</v>
      </c>
      <c r="E26" s="51" t="s">
        <v>582</v>
      </c>
      <c r="F26" s="51" t="s">
        <v>583</v>
      </c>
      <c r="G26" s="47" t="s">
        <v>289</v>
      </c>
      <c r="H26" s="47"/>
      <c r="I26" s="52"/>
      <c r="J26" s="47" t="s">
        <v>178</v>
      </c>
      <c r="K26" s="47" t="s">
        <v>178</v>
      </c>
      <c r="L26" s="44" t="s">
        <v>556</v>
      </c>
      <c r="M26" s="44"/>
      <c r="N26" s="44"/>
      <c r="O26" s="44"/>
      <c r="P26" s="44"/>
      <c r="Q26" s="44" t="s">
        <v>1158</v>
      </c>
      <c r="R26" s="43"/>
      <c r="U26" s="1" t="str">
        <f t="shared" si="0"/>
        <v>SPM_NAME_S TEXT   ,</v>
      </c>
      <c r="AA26" s="1" t="str">
        <f t="shared" si="1"/>
        <v>×</v>
      </c>
      <c r="AC26" s="1" t="str">
        <f t="shared" si="2"/>
        <v>spm_name_s AS spm_name_s,</v>
      </c>
    </row>
    <row r="27" spans="1:29" ht="49.5">
      <c r="A27" s="2">
        <v>20</v>
      </c>
      <c r="B27" s="2" t="s">
        <v>135</v>
      </c>
      <c r="C27" s="2" t="s">
        <v>180</v>
      </c>
      <c r="D27" s="2" t="s">
        <v>584</v>
      </c>
      <c r="E27" s="3" t="s">
        <v>585</v>
      </c>
      <c r="F27" s="3" t="s">
        <v>586</v>
      </c>
      <c r="G27" s="2" t="s">
        <v>539</v>
      </c>
      <c r="H27" s="2" t="s">
        <v>169</v>
      </c>
      <c r="I27" s="28"/>
      <c r="J27" s="2" t="s">
        <v>587</v>
      </c>
      <c r="K27" s="3" t="s">
        <v>588</v>
      </c>
      <c r="L27" s="3" t="s">
        <v>173</v>
      </c>
      <c r="M27" s="3"/>
      <c r="N27" s="3"/>
      <c r="O27" s="3"/>
      <c r="P27" s="3"/>
      <c r="Q27" s="3"/>
      <c r="R27" s="2"/>
      <c r="U27" s="1" t="str">
        <f t="shared" si="0"/>
        <v>SPM_CD_L VARCHAR(32) NOT NULL  ,</v>
      </c>
      <c r="Z27" s="1" t="s">
        <v>1040</v>
      </c>
      <c r="AA27" s="1" t="str">
        <f t="shared" si="1"/>
        <v>○</v>
      </c>
      <c r="AC27" s="1" t="str">
        <f t="shared" si="2"/>
        <v>spm_cd_l AS spm_cd_l,</v>
      </c>
    </row>
    <row r="28" spans="1:29" ht="49.5">
      <c r="A28" s="2">
        <v>21</v>
      </c>
      <c r="B28" s="2"/>
      <c r="C28" s="2" t="s">
        <v>180</v>
      </c>
      <c r="D28" s="2" t="s">
        <v>589</v>
      </c>
      <c r="E28" s="3" t="s">
        <v>590</v>
      </c>
      <c r="F28" s="3" t="s">
        <v>591</v>
      </c>
      <c r="G28" s="2" t="s">
        <v>289</v>
      </c>
      <c r="H28" s="2" t="s">
        <v>169</v>
      </c>
      <c r="I28" s="28" t="s">
        <v>170</v>
      </c>
      <c r="J28" s="2" t="s">
        <v>587</v>
      </c>
      <c r="K28" s="3" t="s">
        <v>592</v>
      </c>
      <c r="L28" s="3" t="s">
        <v>173</v>
      </c>
      <c r="M28" s="3"/>
      <c r="N28" s="3"/>
      <c r="O28" s="3"/>
      <c r="P28" s="3"/>
      <c r="Q28" s="3"/>
      <c r="R28" s="2"/>
      <c r="U28" s="1" t="str">
        <f t="shared" si="0"/>
        <v>SPM_NAME_L TEXT NOT NULL  ,</v>
      </c>
      <c r="Z28" s="1" t="s">
        <v>1041</v>
      </c>
      <c r="AA28" s="1" t="str">
        <f t="shared" si="1"/>
        <v>○</v>
      </c>
      <c r="AC28" s="1" t="str">
        <f t="shared" si="2"/>
        <v>spm_name_l AS spm_name_l,</v>
      </c>
    </row>
    <row r="29" spans="1:29" ht="82.5">
      <c r="A29" s="43">
        <v>22</v>
      </c>
      <c r="B29" s="43"/>
      <c r="C29" s="43"/>
      <c r="D29" s="43" t="s">
        <v>593</v>
      </c>
      <c r="E29" s="44" t="s">
        <v>594</v>
      </c>
      <c r="F29" s="44" t="s">
        <v>595</v>
      </c>
      <c r="G29" s="43" t="s">
        <v>289</v>
      </c>
      <c r="H29" s="43" t="s">
        <v>169</v>
      </c>
      <c r="I29" s="45" t="s">
        <v>170</v>
      </c>
      <c r="J29" s="43" t="s">
        <v>596</v>
      </c>
      <c r="K29" s="43" t="s">
        <v>597</v>
      </c>
      <c r="L29" s="44" t="s">
        <v>173</v>
      </c>
      <c r="M29" s="44" t="s">
        <v>598</v>
      </c>
      <c r="N29" s="44"/>
      <c r="O29" s="44"/>
      <c r="P29" s="44"/>
      <c r="Q29" s="44" t="s">
        <v>1159</v>
      </c>
      <c r="R29" s="43"/>
      <c r="U29" s="1" t="str">
        <f t="shared" si="0"/>
        <v>OBX_VALUE_L TEXT NOT NULL  ,</v>
      </c>
      <c r="Z29" s="1" t="s">
        <v>1042</v>
      </c>
      <c r="AA29" s="1" t="str">
        <f t="shared" si="1"/>
        <v>○</v>
      </c>
      <c r="AC29" s="1" t="str">
        <f t="shared" si="2"/>
        <v>obx_value_l AS obx_value_l,</v>
      </c>
    </row>
    <row r="30" spans="1:29">
      <c r="A30" s="2">
        <v>23</v>
      </c>
      <c r="B30" s="2"/>
      <c r="C30" s="2" t="s">
        <v>180</v>
      </c>
      <c r="D30" s="2" t="s">
        <v>599</v>
      </c>
      <c r="E30" s="3" t="s">
        <v>600</v>
      </c>
      <c r="F30" s="3" t="s">
        <v>601</v>
      </c>
      <c r="G30" s="2" t="s">
        <v>602</v>
      </c>
      <c r="H30" s="2"/>
      <c r="I30" s="28"/>
      <c r="J30" s="2" t="s">
        <v>178</v>
      </c>
      <c r="K30" s="2" t="s">
        <v>178</v>
      </c>
      <c r="L30" s="3" t="s">
        <v>556</v>
      </c>
      <c r="M30" s="3"/>
      <c r="N30" s="3"/>
      <c r="O30" s="3"/>
      <c r="P30" s="3"/>
      <c r="Q30" s="3"/>
      <c r="R30" s="2"/>
      <c r="U30" s="1" t="str">
        <f t="shared" si="0"/>
        <v>SCH_OBX_VALUE_L REAL   ,</v>
      </c>
      <c r="Z30" s="1" t="s">
        <v>1043</v>
      </c>
      <c r="AA30" s="1" t="str">
        <f t="shared" si="1"/>
        <v>○</v>
      </c>
      <c r="AC30" s="1" t="str">
        <f t="shared" si="2"/>
        <v>sch_obx_value_l AS sch_obx_value_l,</v>
      </c>
    </row>
    <row r="31" spans="1:29">
      <c r="A31" s="2">
        <v>24</v>
      </c>
      <c r="B31" s="2"/>
      <c r="C31" s="2"/>
      <c r="D31" s="2" t="s">
        <v>603</v>
      </c>
      <c r="E31" s="3" t="s">
        <v>604</v>
      </c>
      <c r="F31" s="3" t="s">
        <v>605</v>
      </c>
      <c r="G31" s="2" t="s">
        <v>539</v>
      </c>
      <c r="H31" s="2" t="s">
        <v>169</v>
      </c>
      <c r="I31" s="28" t="s">
        <v>170</v>
      </c>
      <c r="J31" s="2" t="s">
        <v>606</v>
      </c>
      <c r="K31" s="2" t="s">
        <v>607</v>
      </c>
      <c r="L31" s="3" t="s">
        <v>277</v>
      </c>
      <c r="M31" s="3"/>
      <c r="N31" s="3"/>
      <c r="O31" s="3"/>
      <c r="P31" s="3"/>
      <c r="Q31" s="3"/>
      <c r="R31" s="2"/>
      <c r="U31" s="1" t="str">
        <f t="shared" si="0"/>
        <v>OBX_UNIT_L VARCHAR(32) NOT NULL  ,</v>
      </c>
      <c r="Z31" s="1" t="s">
        <v>1044</v>
      </c>
      <c r="AA31" s="1" t="str">
        <f t="shared" si="1"/>
        <v>○</v>
      </c>
      <c r="AC31" s="1" t="str">
        <f t="shared" si="2"/>
        <v>obx_unit_l AS obx_unit_l,</v>
      </c>
    </row>
    <row r="32" spans="1:29" ht="66">
      <c r="A32" s="43">
        <v>25</v>
      </c>
      <c r="B32" s="43"/>
      <c r="C32" s="43"/>
      <c r="D32" s="47" t="s">
        <v>608</v>
      </c>
      <c r="E32" s="51" t="s">
        <v>609</v>
      </c>
      <c r="F32" s="51" t="s">
        <v>610</v>
      </c>
      <c r="G32" s="47" t="s">
        <v>602</v>
      </c>
      <c r="H32" s="47"/>
      <c r="I32" s="52"/>
      <c r="J32" s="47" t="s">
        <v>178</v>
      </c>
      <c r="K32" s="47" t="s">
        <v>178</v>
      </c>
      <c r="L32" s="51" t="s">
        <v>556</v>
      </c>
      <c r="M32" s="51" t="s">
        <v>598</v>
      </c>
      <c r="N32" s="44"/>
      <c r="O32" s="44"/>
      <c r="P32" s="44"/>
      <c r="Q32" s="44" t="s">
        <v>1026</v>
      </c>
      <c r="R32" s="43"/>
      <c r="U32" s="1" t="str">
        <f t="shared" si="0"/>
        <v>SCH_OBX_VALUE_S REAL   ,</v>
      </c>
      <c r="AA32" s="1" t="str">
        <f t="shared" si="1"/>
        <v>×</v>
      </c>
      <c r="AC32" s="1" t="str">
        <f t="shared" si="2"/>
        <v>sch_obx_value_s AS sch_obx_value_s,</v>
      </c>
    </row>
    <row r="33" spans="1:29" ht="33">
      <c r="A33" s="43">
        <v>26</v>
      </c>
      <c r="B33" s="43"/>
      <c r="C33" s="43"/>
      <c r="D33" s="47" t="s">
        <v>611</v>
      </c>
      <c r="E33" s="51" t="s">
        <v>612</v>
      </c>
      <c r="F33" s="51" t="s">
        <v>613</v>
      </c>
      <c r="G33" s="47" t="s">
        <v>539</v>
      </c>
      <c r="H33" s="47"/>
      <c r="I33" s="52"/>
      <c r="J33" s="47" t="s">
        <v>178</v>
      </c>
      <c r="K33" s="47" t="s">
        <v>178</v>
      </c>
      <c r="L33" s="51" t="s">
        <v>277</v>
      </c>
      <c r="M33" s="51" t="s">
        <v>1121</v>
      </c>
      <c r="N33" s="44"/>
      <c r="O33" s="44"/>
      <c r="P33" s="44"/>
      <c r="Q33" s="44" t="s">
        <v>1136</v>
      </c>
      <c r="R33" s="43" t="s">
        <v>1139</v>
      </c>
      <c r="U33" s="1" t="str">
        <f t="shared" si="0"/>
        <v>OBX_UNIT_S VARCHAR(32)   ,</v>
      </c>
      <c r="AA33" s="1" t="str">
        <f t="shared" si="1"/>
        <v>×</v>
      </c>
      <c r="AC33" s="1" t="str">
        <f t="shared" si="2"/>
        <v>obx_unit_s AS obx_unit_s,</v>
      </c>
    </row>
    <row r="34" spans="1:29" ht="33">
      <c r="A34" s="2">
        <v>27</v>
      </c>
      <c r="B34" s="2"/>
      <c r="C34" s="2"/>
      <c r="D34" s="2" t="s">
        <v>614</v>
      </c>
      <c r="E34" s="3" t="s">
        <v>615</v>
      </c>
      <c r="F34" s="3" t="s">
        <v>616</v>
      </c>
      <c r="G34" s="2" t="s">
        <v>289</v>
      </c>
      <c r="H34" s="2"/>
      <c r="I34" s="28" t="s">
        <v>170</v>
      </c>
      <c r="J34" s="2" t="s">
        <v>617</v>
      </c>
      <c r="K34" s="2" t="s">
        <v>618</v>
      </c>
      <c r="L34" s="2" t="s">
        <v>277</v>
      </c>
      <c r="M34" s="38"/>
      <c r="N34" s="3"/>
      <c r="O34" s="3"/>
      <c r="P34" s="3"/>
      <c r="Q34" s="3"/>
      <c r="R34" s="2"/>
      <c r="U34" s="1" t="str">
        <f t="shared" si="0"/>
        <v>OBX_RANGE_TEXT_L TEXT   ,</v>
      </c>
      <c r="Z34" s="1" t="s">
        <v>1045</v>
      </c>
      <c r="AA34" s="1" t="str">
        <f t="shared" si="1"/>
        <v>○</v>
      </c>
      <c r="AC34" s="1" t="str">
        <f t="shared" si="2"/>
        <v>obx_range_text_l AS obx_range_text_l,</v>
      </c>
    </row>
    <row r="35" spans="1:29" ht="33">
      <c r="A35" s="43">
        <v>28</v>
      </c>
      <c r="B35" s="43"/>
      <c r="C35" s="43"/>
      <c r="D35" s="43" t="s">
        <v>619</v>
      </c>
      <c r="E35" s="44" t="s">
        <v>620</v>
      </c>
      <c r="F35" s="44" t="s">
        <v>621</v>
      </c>
      <c r="G35" s="43" t="s">
        <v>539</v>
      </c>
      <c r="H35" s="43"/>
      <c r="I35" s="45" t="s">
        <v>170</v>
      </c>
      <c r="J35" s="43" t="s">
        <v>178</v>
      </c>
      <c r="K35" s="43" t="s">
        <v>178</v>
      </c>
      <c r="L35" s="43" t="s">
        <v>277</v>
      </c>
      <c r="M35" s="44" t="s">
        <v>622</v>
      </c>
      <c r="N35" s="44"/>
      <c r="O35" s="44"/>
      <c r="P35" s="44"/>
      <c r="Q35" s="44" t="s">
        <v>1027</v>
      </c>
      <c r="R35" s="43"/>
      <c r="U35" s="1" t="str">
        <f t="shared" si="0"/>
        <v>OBX_RANGE_HIGH_L VARCHAR(32)   ,</v>
      </c>
      <c r="Z35" s="1" t="s">
        <v>1046</v>
      </c>
      <c r="AA35" s="1" t="str">
        <f t="shared" si="1"/>
        <v>○</v>
      </c>
      <c r="AC35" s="1" t="str">
        <f t="shared" si="2"/>
        <v>obx_range_high_l AS obx_range_high_l,</v>
      </c>
    </row>
    <row r="36" spans="1:29" ht="33">
      <c r="A36" s="43">
        <v>29</v>
      </c>
      <c r="B36" s="43"/>
      <c r="C36" s="43"/>
      <c r="D36" s="43" t="s">
        <v>623</v>
      </c>
      <c r="E36" s="44" t="s">
        <v>624</v>
      </c>
      <c r="F36" s="44" t="s">
        <v>625</v>
      </c>
      <c r="G36" s="43" t="s">
        <v>539</v>
      </c>
      <c r="H36" s="43"/>
      <c r="I36" s="45" t="s">
        <v>170</v>
      </c>
      <c r="J36" s="43" t="s">
        <v>178</v>
      </c>
      <c r="K36" s="43" t="s">
        <v>178</v>
      </c>
      <c r="L36" s="43" t="s">
        <v>277</v>
      </c>
      <c r="M36" s="44" t="s">
        <v>626</v>
      </c>
      <c r="N36" s="44"/>
      <c r="O36" s="44"/>
      <c r="P36" s="44"/>
      <c r="Q36" s="44" t="s">
        <v>1028</v>
      </c>
      <c r="R36" s="43"/>
      <c r="U36" s="1" t="str">
        <f t="shared" si="0"/>
        <v>OBX_RANGE_LOW_L VARCHAR(32)   ,</v>
      </c>
      <c r="Z36" s="1" t="s">
        <v>1047</v>
      </c>
      <c r="AA36" s="1" t="str">
        <f t="shared" si="1"/>
        <v>○</v>
      </c>
      <c r="AC36" s="1" t="str">
        <f t="shared" si="2"/>
        <v>obx_range_low_l AS obx_range_low_l,</v>
      </c>
    </row>
    <row r="37" spans="1:29" ht="82.5">
      <c r="A37" s="2">
        <v>30</v>
      </c>
      <c r="B37" s="2"/>
      <c r="C37" s="2"/>
      <c r="D37" s="2" t="s">
        <v>627</v>
      </c>
      <c r="E37" s="3" t="s">
        <v>628</v>
      </c>
      <c r="F37" s="3" t="s">
        <v>629</v>
      </c>
      <c r="G37" s="2" t="s">
        <v>539</v>
      </c>
      <c r="H37" s="2"/>
      <c r="I37" s="28" t="s">
        <v>170</v>
      </c>
      <c r="J37" s="2" t="s">
        <v>630</v>
      </c>
      <c r="K37" s="2" t="s">
        <v>631</v>
      </c>
      <c r="L37" s="2" t="s">
        <v>277</v>
      </c>
      <c r="M37" s="3"/>
      <c r="N37" s="3" t="s">
        <v>632</v>
      </c>
      <c r="O37" s="3"/>
      <c r="P37" s="3"/>
      <c r="Q37" s="3"/>
      <c r="R37" s="2"/>
      <c r="U37" s="1" t="str">
        <f t="shared" ref="U37:U44" si="3">D37&amp;" "&amp;G37&amp; " " &amp; H37&amp;" "  &amp; IF(G38="",""," ,")</f>
        <v>OBX_ABNORMAL_CD VARCHAR(32)   ,</v>
      </c>
      <c r="Z37" s="1" t="s">
        <v>1048</v>
      </c>
      <c r="AA37" s="1" t="str">
        <f t="shared" si="1"/>
        <v>○</v>
      </c>
      <c r="AC37" s="1" t="str">
        <f t="shared" si="2"/>
        <v>obx_abnormal_cd AS obx_abnormal_cd,</v>
      </c>
    </row>
    <row r="38" spans="1:29" ht="66">
      <c r="A38" s="2">
        <v>31</v>
      </c>
      <c r="B38" s="2"/>
      <c r="C38" s="2"/>
      <c r="D38" s="2" t="s">
        <v>633</v>
      </c>
      <c r="E38" s="3" t="s">
        <v>634</v>
      </c>
      <c r="F38" s="3" t="s">
        <v>635</v>
      </c>
      <c r="G38" s="2" t="s">
        <v>539</v>
      </c>
      <c r="H38" s="2"/>
      <c r="I38" s="28" t="s">
        <v>170</v>
      </c>
      <c r="J38" s="2" t="s">
        <v>636</v>
      </c>
      <c r="K38" s="2" t="s">
        <v>637</v>
      </c>
      <c r="L38" s="3" t="s">
        <v>173</v>
      </c>
      <c r="M38" s="3"/>
      <c r="N38" s="3" t="s">
        <v>638</v>
      </c>
      <c r="O38" s="3"/>
      <c r="P38" s="3"/>
      <c r="Q38" s="3"/>
      <c r="R38" s="2"/>
      <c r="U38" s="1" t="str">
        <f t="shared" si="3"/>
        <v>OBX_RESULT_STATUS_CD VARCHAR(32)   ,</v>
      </c>
      <c r="Z38" s="1" t="s">
        <v>1049</v>
      </c>
      <c r="AA38" s="1" t="str">
        <f t="shared" si="1"/>
        <v>○</v>
      </c>
      <c r="AC38" s="1" t="str">
        <f t="shared" si="2"/>
        <v>obx_result_status_cd AS obx_result_status_cd,</v>
      </c>
    </row>
    <row r="39" spans="1:29" ht="49.5">
      <c r="A39" s="2">
        <v>32</v>
      </c>
      <c r="B39" s="2"/>
      <c r="C39" s="2"/>
      <c r="D39" s="48" t="s">
        <v>639</v>
      </c>
      <c r="E39" s="49" t="s">
        <v>640</v>
      </c>
      <c r="F39" s="49" t="s">
        <v>641</v>
      </c>
      <c r="G39" s="48" t="s">
        <v>289</v>
      </c>
      <c r="H39" s="48"/>
      <c r="I39" s="50"/>
      <c r="J39" s="48" t="s">
        <v>596</v>
      </c>
      <c r="K39" s="48" t="s">
        <v>597</v>
      </c>
      <c r="L39" s="49" t="s">
        <v>145</v>
      </c>
      <c r="M39" s="3"/>
      <c r="N39" s="3" t="s">
        <v>642</v>
      </c>
      <c r="O39" s="3"/>
      <c r="P39" s="3"/>
      <c r="Q39" s="3"/>
      <c r="R39" s="2"/>
      <c r="U39" s="1" t="str">
        <f t="shared" si="3"/>
        <v>OBX_RESULT_COMMENT TEXT   ,</v>
      </c>
      <c r="AA39" s="1" t="str">
        <f t="shared" si="1"/>
        <v>×</v>
      </c>
      <c r="AC39" s="1" t="str">
        <f t="shared" si="2"/>
        <v>obx_result_comment AS obx_result_comment,</v>
      </c>
    </row>
    <row r="40" spans="1:29" ht="49.5">
      <c r="A40" s="2">
        <v>33</v>
      </c>
      <c r="B40" s="2"/>
      <c r="C40" s="2"/>
      <c r="D40" s="2" t="s">
        <v>643</v>
      </c>
      <c r="E40" s="3" t="s">
        <v>644</v>
      </c>
      <c r="F40" s="3" t="s">
        <v>645</v>
      </c>
      <c r="G40" s="2" t="s">
        <v>355</v>
      </c>
      <c r="H40" s="2"/>
      <c r="I40" s="28" t="s">
        <v>356</v>
      </c>
      <c r="J40" s="2" t="s">
        <v>178</v>
      </c>
      <c r="K40" s="2" t="s">
        <v>178</v>
      </c>
      <c r="L40" s="2" t="s">
        <v>178</v>
      </c>
      <c r="M40" s="29"/>
      <c r="N40" s="3" t="s">
        <v>646</v>
      </c>
      <c r="O40" s="3"/>
      <c r="P40" s="3"/>
      <c r="Q40" s="3"/>
      <c r="R40" s="2"/>
      <c r="U40" s="1" t="str">
        <f t="shared" si="3"/>
        <v>SPM_COLLECT_AGE INT   ,</v>
      </c>
      <c r="Z40" s="1" t="s">
        <v>643</v>
      </c>
      <c r="AA40" s="1" t="str">
        <f t="shared" si="1"/>
        <v>○</v>
      </c>
      <c r="AC40" s="1" t="str">
        <f t="shared" si="2"/>
        <v>spm_collect_age AS spm_collect_age,</v>
      </c>
    </row>
    <row r="41" spans="1:29" ht="66">
      <c r="A41" s="2">
        <v>34</v>
      </c>
      <c r="B41" s="2"/>
      <c r="C41" s="2"/>
      <c r="D41" s="2" t="s">
        <v>647</v>
      </c>
      <c r="E41" s="3" t="s">
        <v>648</v>
      </c>
      <c r="F41" s="3" t="s">
        <v>649</v>
      </c>
      <c r="G41" s="2" t="s">
        <v>355</v>
      </c>
      <c r="H41" s="2"/>
      <c r="I41" s="28" t="s">
        <v>356</v>
      </c>
      <c r="J41" s="2" t="s">
        <v>178</v>
      </c>
      <c r="K41" s="2" t="s">
        <v>178</v>
      </c>
      <c r="L41" s="2" t="s">
        <v>178</v>
      </c>
      <c r="M41" s="29"/>
      <c r="N41" s="3" t="s">
        <v>650</v>
      </c>
      <c r="O41" s="3"/>
      <c r="P41" s="3"/>
      <c r="Q41" s="3"/>
      <c r="R41" s="2"/>
      <c r="U41" s="1" t="str">
        <f t="shared" si="3"/>
        <v>SPM_COLLECT_MONTHS INT   ,</v>
      </c>
      <c r="Z41" s="1" t="s">
        <v>647</v>
      </c>
      <c r="AA41" s="1" t="str">
        <f t="shared" si="1"/>
        <v>○</v>
      </c>
      <c r="AC41" s="1" t="str">
        <f t="shared" si="2"/>
        <v>spm_collect_months AS spm_collect_months,</v>
      </c>
    </row>
    <row r="42" spans="1:29" ht="66">
      <c r="A42" s="2">
        <v>35</v>
      </c>
      <c r="B42" s="2"/>
      <c r="C42" s="2"/>
      <c r="D42" s="2" t="s">
        <v>651</v>
      </c>
      <c r="E42" s="3" t="s">
        <v>652</v>
      </c>
      <c r="F42" s="3" t="s">
        <v>653</v>
      </c>
      <c r="G42" s="2" t="s">
        <v>355</v>
      </c>
      <c r="H42" s="2"/>
      <c r="I42" s="28" t="s">
        <v>356</v>
      </c>
      <c r="J42" s="2" t="s">
        <v>178</v>
      </c>
      <c r="K42" s="2" t="s">
        <v>178</v>
      </c>
      <c r="L42" s="2" t="s">
        <v>277</v>
      </c>
      <c r="M42" s="29"/>
      <c r="N42" s="3" t="s">
        <v>654</v>
      </c>
      <c r="O42" s="3"/>
      <c r="P42" s="3"/>
      <c r="Q42" s="3"/>
      <c r="R42" s="2"/>
      <c r="U42" s="1" t="str">
        <f t="shared" si="3"/>
        <v>SPM_COLLECT_DAYS INT   ,</v>
      </c>
      <c r="Z42" s="1" t="s">
        <v>651</v>
      </c>
      <c r="AA42" s="1" t="str">
        <f t="shared" si="1"/>
        <v>○</v>
      </c>
      <c r="AC42" s="1" t="str">
        <f t="shared" si="2"/>
        <v>spm_collect_days AS spm_collect_days,</v>
      </c>
    </row>
    <row r="43" spans="1:29" ht="33">
      <c r="A43" s="2">
        <v>36</v>
      </c>
      <c r="B43" s="2"/>
      <c r="C43" s="2"/>
      <c r="D43" s="2" t="s">
        <v>184</v>
      </c>
      <c r="E43" s="3" t="s">
        <v>185</v>
      </c>
      <c r="F43" s="3" t="s">
        <v>655</v>
      </c>
      <c r="G43" s="2" t="s">
        <v>187</v>
      </c>
      <c r="H43" s="2" t="s">
        <v>169</v>
      </c>
      <c r="I43" s="28" t="s">
        <v>188</v>
      </c>
      <c r="J43" s="2" t="s">
        <v>656</v>
      </c>
      <c r="K43" s="2" t="s">
        <v>657</v>
      </c>
      <c r="L43" s="3" t="s">
        <v>173</v>
      </c>
      <c r="M43" s="3"/>
      <c r="N43" s="3" t="s">
        <v>191</v>
      </c>
      <c r="O43" s="3"/>
      <c r="P43" s="3"/>
      <c r="Q43" s="3"/>
      <c r="R43" s="2"/>
      <c r="U43" s="1" t="str">
        <f t="shared" si="3"/>
        <v>DATA_UPDATE_DATE VARCHAR(16) NOT NULL  ,</v>
      </c>
      <c r="Z43" s="1" t="s">
        <v>184</v>
      </c>
      <c r="AA43" s="1" t="str">
        <f t="shared" si="1"/>
        <v>○</v>
      </c>
      <c r="AC43" s="1" t="str">
        <f t="shared" si="2"/>
        <v>data_update_date AS data_update_date,</v>
      </c>
    </row>
    <row r="44" spans="1:29">
      <c r="A44" s="2">
        <v>37</v>
      </c>
      <c r="B44" s="2"/>
      <c r="C44" s="2"/>
      <c r="D44" s="2" t="s">
        <v>192</v>
      </c>
      <c r="E44" s="3" t="s">
        <v>193</v>
      </c>
      <c r="F44" s="3" t="s">
        <v>658</v>
      </c>
      <c r="G44" s="2" t="s">
        <v>195</v>
      </c>
      <c r="H44" s="2" t="s">
        <v>169</v>
      </c>
      <c r="I44" s="28" t="s">
        <v>196</v>
      </c>
      <c r="J44" s="2" t="s">
        <v>178</v>
      </c>
      <c r="K44" s="2" t="s">
        <v>178</v>
      </c>
      <c r="L44" s="2" t="s">
        <v>178</v>
      </c>
      <c r="M44" s="3"/>
      <c r="N44" s="3"/>
      <c r="O44" s="3"/>
      <c r="P44" s="3"/>
      <c r="Q44" s="3"/>
      <c r="R44" s="2"/>
      <c r="U44" s="1" t="str">
        <f t="shared" si="3"/>
        <v xml:space="preserve">TS_TABLE_UPDATE TIMESTAMP NOT NULL </v>
      </c>
      <c r="Z44" s="1" t="s">
        <v>1021</v>
      </c>
      <c r="AA44" s="1" t="str">
        <f t="shared" si="1"/>
        <v>○</v>
      </c>
      <c r="AC44" s="1" t="str">
        <f t="shared" si="2"/>
        <v>ts_table_update AS ts_table_update,</v>
      </c>
    </row>
    <row r="45" spans="1:29">
      <c r="F45" s="21"/>
      <c r="T45" s="1" t="s">
        <v>978</v>
      </c>
    </row>
    <row r="46" spans="1:29">
      <c r="F46" s="21"/>
    </row>
    <row r="47" spans="1:29">
      <c r="F47" s="21"/>
    </row>
    <row r="48" spans="1:29">
      <c r="F48" s="21"/>
    </row>
    <row r="49" spans="6:6">
      <c r="F49" s="21"/>
    </row>
    <row r="50" spans="6:6">
      <c r="F50" s="21"/>
    </row>
    <row r="51" spans="6:6">
      <c r="F51" s="21"/>
    </row>
  </sheetData>
  <autoFilter ref="A7:AA44" xr:uid="{00000000-0001-0000-0500-000000000000}"/>
  <phoneticPr fontId="4"/>
  <pageMargins left="0.23622047244094491" right="0.23622047244094491" top="0.55118110236220474" bottom="0.55118110236220474" header="0.31496062992125984" footer="0.31496062992125984"/>
  <pageSetup paperSize="9" scale="66" orientation="landscape" horizontalDpi="1200" verticalDpi="1200" r:id="rId1"/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DAE6-550D-41D2-A04B-2F9E968E34B3}">
  <sheetPr codeName="Sheet9"/>
  <dimension ref="A1:AC63"/>
  <sheetViews>
    <sheetView zoomScale="78" zoomScaleNormal="78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ColWidth="8.85546875" defaultRowHeight="16.5"/>
  <cols>
    <col min="1" max="1" width="6.140625" style="1" customWidth="1"/>
    <col min="2" max="3" width="9.28515625" style="1" customWidth="1"/>
    <col min="4" max="4" width="33.5703125" style="1" customWidth="1"/>
    <col min="5" max="5" width="24.140625" style="21" bestFit="1" customWidth="1"/>
    <col min="6" max="6" width="55.140625" style="1" customWidth="1"/>
    <col min="7" max="7" width="15.28515625" style="1" bestFit="1" customWidth="1"/>
    <col min="8" max="8" width="13.28515625" style="1" bestFit="1" customWidth="1"/>
    <col min="9" max="9" width="20.85546875" style="1" customWidth="1"/>
    <col min="10" max="10" width="8.85546875" style="1"/>
    <col min="11" max="11" width="10" style="1" customWidth="1"/>
    <col min="12" max="12" width="6" style="1" bestFit="1" customWidth="1"/>
    <col min="13" max="13" width="14.140625" style="21" customWidth="1"/>
    <col min="14" max="14" width="46" style="1" customWidth="1"/>
    <col min="15" max="15" width="13.85546875" style="1" customWidth="1"/>
    <col min="16" max="16" width="46.140625" style="1" customWidth="1"/>
    <col min="17" max="17" width="43.5703125" style="1" customWidth="1"/>
    <col min="18" max="18" width="27.28515625" style="1" customWidth="1"/>
    <col min="19" max="24" width="8.85546875" style="1"/>
    <col min="25" max="25" width="17" style="1" customWidth="1"/>
    <col min="26" max="26" width="34.85546875" style="1" bestFit="1" customWidth="1"/>
    <col min="27" max="16384" width="8.85546875" style="1"/>
  </cols>
  <sheetData>
    <row r="1" spans="1:29">
      <c r="A1" s="15" t="s">
        <v>151</v>
      </c>
      <c r="B1" s="16"/>
      <c r="C1" s="13">
        <v>7</v>
      </c>
      <c r="D1" s="9"/>
      <c r="E1" s="22" t="s">
        <v>152</v>
      </c>
      <c r="F1" s="17" t="s">
        <v>659</v>
      </c>
      <c r="G1" s="14"/>
      <c r="H1" s="14"/>
      <c r="I1" s="14"/>
      <c r="J1" s="14"/>
      <c r="K1" s="14"/>
      <c r="L1" s="14"/>
      <c r="M1" s="14"/>
      <c r="N1" s="14"/>
      <c r="O1" s="14"/>
      <c r="P1" s="9"/>
    </row>
    <row r="2" spans="1:29">
      <c r="A2" s="15" t="s">
        <v>154</v>
      </c>
      <c r="B2" s="16"/>
      <c r="C2" s="13"/>
      <c r="D2" s="34">
        <v>45190</v>
      </c>
      <c r="E2" s="23" t="s">
        <v>155</v>
      </c>
      <c r="F2" s="10" t="s">
        <v>660</v>
      </c>
      <c r="G2" s="11"/>
      <c r="H2" s="11"/>
      <c r="I2" s="11"/>
      <c r="J2" s="11"/>
      <c r="K2" s="11"/>
      <c r="M2" s="11"/>
      <c r="N2" s="11"/>
      <c r="O2" s="11"/>
      <c r="P2" s="4"/>
    </row>
    <row r="3" spans="1:29">
      <c r="A3" s="15" t="s">
        <v>157</v>
      </c>
      <c r="B3" s="16"/>
      <c r="C3" s="13"/>
      <c r="D3" s="34">
        <v>45519</v>
      </c>
      <c r="E3" s="24"/>
      <c r="F3" s="5" t="s">
        <v>661</v>
      </c>
      <c r="M3" s="1"/>
      <c r="P3" s="6"/>
    </row>
    <row r="4" spans="1:29">
      <c r="A4" s="15" t="s">
        <v>159</v>
      </c>
      <c r="B4" s="16"/>
      <c r="C4" s="13"/>
      <c r="D4" s="9"/>
      <c r="E4" s="24"/>
      <c r="F4" s="5" t="s">
        <v>662</v>
      </c>
      <c r="M4" s="1"/>
      <c r="P4" s="6"/>
    </row>
    <row r="5" spans="1:29">
      <c r="A5" s="15" t="s">
        <v>161</v>
      </c>
      <c r="B5" s="16"/>
      <c r="C5" s="13"/>
      <c r="D5" s="9"/>
      <c r="E5" s="25"/>
      <c r="F5" s="7" t="s">
        <v>663</v>
      </c>
      <c r="G5" s="12"/>
      <c r="H5" s="12"/>
      <c r="I5" s="12"/>
      <c r="J5" s="12"/>
      <c r="K5" s="12"/>
      <c r="L5" s="12"/>
      <c r="M5" s="12"/>
      <c r="N5" s="12"/>
      <c r="O5" s="12"/>
      <c r="P5" s="8"/>
    </row>
    <row r="6" spans="1:29">
      <c r="E6" s="1"/>
      <c r="M6" s="1"/>
      <c r="O6" s="12"/>
      <c r="P6" s="8"/>
    </row>
    <row r="7" spans="1:29">
      <c r="A7" s="15" t="s">
        <v>13</v>
      </c>
      <c r="B7" s="15" t="s">
        <v>37</v>
      </c>
      <c r="C7" s="15" t="s">
        <v>40</v>
      </c>
      <c r="D7" s="15" t="s">
        <v>43</v>
      </c>
      <c r="E7" s="20" t="s">
        <v>46</v>
      </c>
      <c r="F7" s="15" t="s">
        <v>48</v>
      </c>
      <c r="G7" s="15" t="s">
        <v>50</v>
      </c>
      <c r="H7" s="15" t="s">
        <v>52</v>
      </c>
      <c r="I7" s="15" t="s">
        <v>54</v>
      </c>
      <c r="J7" s="15" t="s">
        <v>57</v>
      </c>
      <c r="K7" s="20" t="s">
        <v>59</v>
      </c>
      <c r="L7" s="20" t="s">
        <v>61</v>
      </c>
      <c r="M7" s="20" t="s">
        <v>163</v>
      </c>
      <c r="N7" s="15" t="s">
        <v>65</v>
      </c>
      <c r="O7" s="30" t="s">
        <v>664</v>
      </c>
      <c r="P7" s="30" t="s">
        <v>69</v>
      </c>
      <c r="Q7" s="42" t="s">
        <v>979</v>
      </c>
      <c r="R7" s="42" t="s">
        <v>980</v>
      </c>
      <c r="T7" s="1" t="s">
        <v>1050</v>
      </c>
      <c r="Z7" s="1" t="s">
        <v>1022</v>
      </c>
    </row>
    <row r="8" spans="1:29">
      <c r="A8" s="2">
        <v>1</v>
      </c>
      <c r="B8" s="2" t="s">
        <v>203</v>
      </c>
      <c r="C8" s="2"/>
      <c r="D8" s="2" t="s">
        <v>665</v>
      </c>
      <c r="E8" s="3" t="s">
        <v>256</v>
      </c>
      <c r="F8" s="2" t="s">
        <v>666</v>
      </c>
      <c r="G8" s="2" t="s">
        <v>207</v>
      </c>
      <c r="H8" s="2" t="s">
        <v>169</v>
      </c>
      <c r="I8" s="28" t="s">
        <v>170</v>
      </c>
      <c r="J8" s="2" t="s">
        <v>178</v>
      </c>
      <c r="K8" s="2" t="s">
        <v>178</v>
      </c>
      <c r="L8" s="3" t="s">
        <v>173</v>
      </c>
      <c r="M8" s="3"/>
      <c r="N8" s="3"/>
      <c r="O8" s="3"/>
      <c r="P8" s="3"/>
      <c r="Q8" s="2"/>
      <c r="R8" s="2"/>
      <c r="U8" s="1" t="str">
        <f>D8&amp;" "&amp;G8&amp; " " &amp; H8&amp;" "  &amp; IF(G9="",""," ,")</f>
        <v>PRES_UNIQUE_ID SERIAL NOT NULL  ,</v>
      </c>
      <c r="Z8" s="1" t="s">
        <v>1060</v>
      </c>
      <c r="AA8" s="1" t="str">
        <f>IF(Z8=D8,"○","×")</f>
        <v>○</v>
      </c>
      <c r="AC8" s="1" t="str">
        <f>LOWER(D8)&amp;" AS "&amp;LOWER(D8)&amp;","</f>
        <v>pres_unique_id AS pres_unique_id,</v>
      </c>
    </row>
    <row r="9" spans="1:29" ht="33">
      <c r="A9" s="43">
        <v>2</v>
      </c>
      <c r="B9" s="43"/>
      <c r="C9" s="43" t="s">
        <v>180</v>
      </c>
      <c r="D9" s="43" t="s">
        <v>181</v>
      </c>
      <c r="E9" s="44" t="s">
        <v>182</v>
      </c>
      <c r="F9" s="44" t="s">
        <v>667</v>
      </c>
      <c r="G9" s="43" t="s">
        <v>168</v>
      </c>
      <c r="H9" s="43" t="s">
        <v>169</v>
      </c>
      <c r="I9" s="45"/>
      <c r="J9" s="43" t="s">
        <v>171</v>
      </c>
      <c r="K9" s="43" t="s">
        <v>172</v>
      </c>
      <c r="L9" s="44" t="s">
        <v>173</v>
      </c>
      <c r="M9" s="44" t="s">
        <v>179</v>
      </c>
      <c r="N9" s="44"/>
      <c r="O9" s="44"/>
      <c r="P9" s="44"/>
      <c r="Q9" s="43" t="s">
        <v>1051</v>
      </c>
      <c r="R9" s="43"/>
      <c r="U9" s="1" t="str">
        <f t="shared" ref="U9:U61" si="0">D9&amp;" "&amp;G9&amp; " " &amp; H9&amp;" "  &amp; IF(G10="",""," ,")</f>
        <v>PATIENT_ID VARCHAR(64) NOT NULL  ,</v>
      </c>
      <c r="Z9" s="1" t="s">
        <v>997</v>
      </c>
      <c r="AA9" s="1" t="str">
        <f t="shared" ref="AA9:AA61" si="1">IF(Z9=D9,"○","×")</f>
        <v>×</v>
      </c>
      <c r="AC9" s="1" t="str">
        <f t="shared" ref="AC9:AC61" si="2">LOWER(D9)&amp;" AS "&amp;LOWER(D9)&amp;","</f>
        <v>patient_id AS patient_id,</v>
      </c>
    </row>
    <row r="10" spans="1:29" ht="33">
      <c r="A10" s="43">
        <v>3</v>
      </c>
      <c r="B10" s="43"/>
      <c r="C10" s="43"/>
      <c r="D10" s="44" t="s">
        <v>294</v>
      </c>
      <c r="E10" s="44" t="s">
        <v>295</v>
      </c>
      <c r="F10" s="44" t="s">
        <v>668</v>
      </c>
      <c r="G10" s="43" t="s">
        <v>217</v>
      </c>
      <c r="H10" s="43"/>
      <c r="I10" s="43" t="s">
        <v>178</v>
      </c>
      <c r="J10" s="43" t="s">
        <v>178</v>
      </c>
      <c r="K10" s="43" t="s">
        <v>178</v>
      </c>
      <c r="L10" s="44" t="s">
        <v>277</v>
      </c>
      <c r="M10" s="44"/>
      <c r="N10" s="44" t="s">
        <v>297</v>
      </c>
      <c r="O10" s="44"/>
      <c r="P10" s="44"/>
      <c r="Q10" s="43" t="s">
        <v>1123</v>
      </c>
      <c r="R10" s="43"/>
      <c r="U10" s="1" t="str">
        <f t="shared" si="0"/>
        <v>DEPT_CD_S VARCHAR(8)   ,</v>
      </c>
      <c r="AA10" s="1" t="str">
        <f t="shared" si="1"/>
        <v>×</v>
      </c>
      <c r="AC10" s="1" t="str">
        <f t="shared" si="2"/>
        <v>dept_cd_s AS dept_cd_s,</v>
      </c>
    </row>
    <row r="11" spans="1:29" ht="49.5">
      <c r="A11" s="2">
        <v>4</v>
      </c>
      <c r="B11" s="2"/>
      <c r="C11" s="2"/>
      <c r="D11" s="3" t="s">
        <v>298</v>
      </c>
      <c r="E11" s="3" t="s">
        <v>299</v>
      </c>
      <c r="F11" s="3" t="s">
        <v>669</v>
      </c>
      <c r="G11" s="2" t="s">
        <v>289</v>
      </c>
      <c r="H11" s="2"/>
      <c r="I11" s="28"/>
      <c r="J11" s="2" t="s">
        <v>376</v>
      </c>
      <c r="K11" s="3" t="s">
        <v>377</v>
      </c>
      <c r="L11" s="3" t="s">
        <v>277</v>
      </c>
      <c r="M11" s="3"/>
      <c r="N11" s="3"/>
      <c r="O11" s="3"/>
      <c r="P11" s="3"/>
      <c r="Q11" s="2"/>
      <c r="R11" s="2"/>
      <c r="U11" s="1" t="str">
        <f t="shared" si="0"/>
        <v>DEPT_CD_L TEXT   ,</v>
      </c>
      <c r="Z11" s="1" t="s">
        <v>998</v>
      </c>
      <c r="AA11" s="1" t="str">
        <f t="shared" si="1"/>
        <v>○</v>
      </c>
      <c r="AC11" s="1" t="str">
        <f t="shared" si="2"/>
        <v>dept_cd_l AS dept_cd_l,</v>
      </c>
    </row>
    <row r="12" spans="1:29" ht="49.5">
      <c r="A12" s="2">
        <v>5</v>
      </c>
      <c r="B12" s="2"/>
      <c r="C12" s="2"/>
      <c r="D12" s="3" t="s">
        <v>379</v>
      </c>
      <c r="E12" s="3" t="s">
        <v>380</v>
      </c>
      <c r="F12" s="3" t="s">
        <v>670</v>
      </c>
      <c r="G12" s="2" t="s">
        <v>289</v>
      </c>
      <c r="H12" s="2"/>
      <c r="I12" s="28"/>
      <c r="J12" s="2" t="s">
        <v>376</v>
      </c>
      <c r="K12" s="3" t="s">
        <v>382</v>
      </c>
      <c r="L12" s="3" t="s">
        <v>277</v>
      </c>
      <c r="M12" s="3"/>
      <c r="N12" s="3"/>
      <c r="O12" s="3"/>
      <c r="P12" s="3"/>
      <c r="Q12" s="2"/>
      <c r="R12" s="2"/>
      <c r="U12" s="1" t="str">
        <f t="shared" si="0"/>
        <v>DEPT_NAME_L TEXT   ,</v>
      </c>
      <c r="Z12" s="1" t="s">
        <v>999</v>
      </c>
      <c r="AA12" s="1" t="str">
        <f t="shared" si="1"/>
        <v>○</v>
      </c>
      <c r="AC12" s="1" t="str">
        <f t="shared" si="2"/>
        <v>dept_name_l AS dept_name_l,</v>
      </c>
    </row>
    <row r="13" spans="1:29">
      <c r="A13" s="2">
        <v>6</v>
      </c>
      <c r="B13" s="2" t="s">
        <v>211</v>
      </c>
      <c r="C13" s="2" t="s">
        <v>180</v>
      </c>
      <c r="D13" s="2" t="s">
        <v>521</v>
      </c>
      <c r="E13" s="3" t="s">
        <v>522</v>
      </c>
      <c r="F13" s="3" t="s">
        <v>671</v>
      </c>
      <c r="G13" s="2" t="s">
        <v>168</v>
      </c>
      <c r="H13" s="2" t="s">
        <v>169</v>
      </c>
      <c r="I13" s="28"/>
      <c r="J13" s="2" t="s">
        <v>524</v>
      </c>
      <c r="K13" s="2" t="s">
        <v>525</v>
      </c>
      <c r="L13" s="3" t="s">
        <v>173</v>
      </c>
      <c r="M13" s="3"/>
      <c r="N13" s="3"/>
      <c r="O13" s="3"/>
      <c r="P13" s="3"/>
      <c r="Q13" s="2"/>
      <c r="R13" s="2"/>
      <c r="U13" s="1" t="str">
        <f t="shared" si="0"/>
        <v>PLACER_ORDER_NO VARCHAR(64) NOT NULL  ,</v>
      </c>
      <c r="Z13" s="1" t="s">
        <v>1030</v>
      </c>
      <c r="AA13" s="1" t="str">
        <f t="shared" si="1"/>
        <v>○</v>
      </c>
      <c r="AC13" s="1" t="str">
        <f t="shared" si="2"/>
        <v>placer_order_no AS placer_order_no,</v>
      </c>
    </row>
    <row r="14" spans="1:29" ht="18.75">
      <c r="A14" s="2">
        <v>7</v>
      </c>
      <c r="B14" s="2" t="s">
        <v>211</v>
      </c>
      <c r="C14" s="2" t="s">
        <v>180</v>
      </c>
      <c r="D14" s="3" t="s">
        <v>672</v>
      </c>
      <c r="E14" s="3" t="s">
        <v>673</v>
      </c>
      <c r="F14" s="3" t="s">
        <v>674</v>
      </c>
      <c r="G14" s="2" t="s">
        <v>168</v>
      </c>
      <c r="H14" s="2" t="s">
        <v>169</v>
      </c>
      <c r="I14" s="28"/>
      <c r="J14" s="2" t="s">
        <v>675</v>
      </c>
      <c r="K14" s="2" t="s">
        <v>676</v>
      </c>
      <c r="L14" s="3" t="s">
        <v>173</v>
      </c>
      <c r="M14" s="3"/>
      <c r="N14" s="3"/>
      <c r="O14" s="3"/>
      <c r="P14" s="3"/>
      <c r="Q14" s="2"/>
      <c r="R14" s="2"/>
      <c r="U14" s="1" t="str">
        <f t="shared" si="0"/>
        <v>RP_NO VARCHAR(64) NOT NULL  ,</v>
      </c>
      <c r="Z14" s="1" t="s">
        <v>672</v>
      </c>
      <c r="AA14" s="1" t="str">
        <f t="shared" si="1"/>
        <v>○</v>
      </c>
      <c r="AC14" s="1" t="str">
        <f t="shared" si="2"/>
        <v>rp_no AS rp_no,</v>
      </c>
    </row>
    <row r="15" spans="1:29" ht="82.5">
      <c r="A15" s="43">
        <v>8</v>
      </c>
      <c r="B15" s="43"/>
      <c r="C15" s="43"/>
      <c r="D15" s="44" t="s">
        <v>677</v>
      </c>
      <c r="E15" s="44" t="s">
        <v>678</v>
      </c>
      <c r="F15" s="44" t="s">
        <v>679</v>
      </c>
      <c r="G15" s="43" t="s">
        <v>289</v>
      </c>
      <c r="H15" s="43"/>
      <c r="I15" s="43"/>
      <c r="J15" s="43" t="s">
        <v>680</v>
      </c>
      <c r="K15" s="44" t="s">
        <v>681</v>
      </c>
      <c r="L15" s="44" t="s">
        <v>277</v>
      </c>
      <c r="M15" s="44" t="s">
        <v>682</v>
      </c>
      <c r="N15" s="44" t="s">
        <v>683</v>
      </c>
      <c r="O15" s="44"/>
      <c r="P15" s="44"/>
      <c r="Q15" s="44" t="s">
        <v>1141</v>
      </c>
      <c r="R15" s="43" t="s">
        <v>1140</v>
      </c>
      <c r="U15" s="1" t="str">
        <f t="shared" si="0"/>
        <v>PRES_ROUTE TEXT   ,</v>
      </c>
      <c r="Z15" s="1" t="s">
        <v>1061</v>
      </c>
      <c r="AA15" s="1" t="str">
        <f t="shared" si="1"/>
        <v>○</v>
      </c>
      <c r="AC15" s="1" t="str">
        <f t="shared" si="2"/>
        <v>pres_route AS pres_route,</v>
      </c>
    </row>
    <row r="16" spans="1:29" ht="82.5">
      <c r="A16" s="2">
        <v>9</v>
      </c>
      <c r="B16" s="2"/>
      <c r="C16" s="2"/>
      <c r="D16" s="2" t="s">
        <v>684</v>
      </c>
      <c r="E16" s="3" t="s">
        <v>685</v>
      </c>
      <c r="F16" s="3" t="s">
        <v>686</v>
      </c>
      <c r="G16" s="2" t="s">
        <v>289</v>
      </c>
      <c r="H16" s="2"/>
      <c r="I16" s="2"/>
      <c r="J16" s="2" t="s">
        <v>687</v>
      </c>
      <c r="K16" s="3" t="s">
        <v>688</v>
      </c>
      <c r="L16" s="3" t="s">
        <v>277</v>
      </c>
      <c r="M16" s="3"/>
      <c r="N16" s="3" t="s">
        <v>689</v>
      </c>
      <c r="O16" s="3"/>
      <c r="P16" s="3"/>
      <c r="Q16" s="2"/>
      <c r="R16" s="2"/>
      <c r="U16" s="1" t="str">
        <f t="shared" si="0"/>
        <v>PRES_SITE TEXT   ,</v>
      </c>
      <c r="Z16" s="1" t="s">
        <v>1062</v>
      </c>
      <c r="AA16" s="1" t="str">
        <f t="shared" si="1"/>
        <v>○</v>
      </c>
      <c r="AC16" s="1" t="str">
        <f t="shared" si="2"/>
        <v>pres_site AS pres_site,</v>
      </c>
    </row>
    <row r="17" spans="1:29" ht="214.5">
      <c r="A17" s="2">
        <v>10</v>
      </c>
      <c r="B17" s="2"/>
      <c r="C17" s="2" t="s">
        <v>180</v>
      </c>
      <c r="D17" s="2" t="s">
        <v>690</v>
      </c>
      <c r="E17" s="3" t="s">
        <v>691</v>
      </c>
      <c r="F17" s="3" t="s">
        <v>692</v>
      </c>
      <c r="G17" s="2" t="s">
        <v>289</v>
      </c>
      <c r="H17" s="2" t="s">
        <v>169</v>
      </c>
      <c r="I17" s="28"/>
      <c r="J17" s="2" t="s">
        <v>693</v>
      </c>
      <c r="K17" s="3" t="s">
        <v>694</v>
      </c>
      <c r="L17" s="3" t="s">
        <v>277</v>
      </c>
      <c r="M17" s="3"/>
      <c r="N17" s="3" t="s">
        <v>695</v>
      </c>
      <c r="O17" s="3"/>
      <c r="P17" s="3"/>
      <c r="Q17" s="2"/>
      <c r="R17" s="2"/>
      <c r="U17" s="1" t="str">
        <f t="shared" si="0"/>
        <v>PRES_CLASSIFICATION TEXT NOT NULL  ,</v>
      </c>
      <c r="Z17" s="1" t="s">
        <v>1063</v>
      </c>
      <c r="AA17" s="1" t="str">
        <f t="shared" si="1"/>
        <v>○</v>
      </c>
      <c r="AC17" s="1" t="str">
        <f t="shared" si="2"/>
        <v>pres_classification AS pres_classification,</v>
      </c>
    </row>
    <row r="18" spans="1:29" ht="231">
      <c r="A18" s="43">
        <v>11</v>
      </c>
      <c r="B18" s="43"/>
      <c r="C18" s="43" t="s">
        <v>180</v>
      </c>
      <c r="D18" s="43" t="s">
        <v>696</v>
      </c>
      <c r="E18" s="44" t="s">
        <v>697</v>
      </c>
      <c r="F18" s="44" t="s">
        <v>698</v>
      </c>
      <c r="G18" s="43" t="s">
        <v>289</v>
      </c>
      <c r="H18" s="43"/>
      <c r="I18" s="45"/>
      <c r="J18" s="43" t="s">
        <v>699</v>
      </c>
      <c r="K18" s="44" t="s">
        <v>700</v>
      </c>
      <c r="L18" s="44" t="s">
        <v>277</v>
      </c>
      <c r="M18" s="44" t="s">
        <v>682</v>
      </c>
      <c r="N18" s="44" t="s">
        <v>701</v>
      </c>
      <c r="O18" s="44"/>
      <c r="P18" s="44"/>
      <c r="Q18" s="43" t="s">
        <v>1052</v>
      </c>
      <c r="R18" s="43"/>
      <c r="U18" s="1" t="str">
        <f t="shared" si="0"/>
        <v>PRES_ADMINISTRATION_TYPE TEXT   ,</v>
      </c>
      <c r="Z18" s="1" t="s">
        <v>1064</v>
      </c>
      <c r="AA18" s="1" t="str">
        <f t="shared" si="1"/>
        <v>○</v>
      </c>
      <c r="AC18" s="1" t="str">
        <f t="shared" si="2"/>
        <v>pres_administration_type AS pres_administration_type,</v>
      </c>
    </row>
    <row r="19" spans="1:29">
      <c r="A19" s="2">
        <v>12</v>
      </c>
      <c r="B19" s="2"/>
      <c r="C19" s="2" t="s">
        <v>180</v>
      </c>
      <c r="D19" s="2" t="s">
        <v>702</v>
      </c>
      <c r="E19" s="3" t="s">
        <v>703</v>
      </c>
      <c r="F19" s="3" t="s">
        <v>704</v>
      </c>
      <c r="G19" s="2" t="s">
        <v>217</v>
      </c>
      <c r="H19" s="2" t="s">
        <v>169</v>
      </c>
      <c r="I19" s="28"/>
      <c r="J19" s="2" t="s">
        <v>705</v>
      </c>
      <c r="K19" s="2" t="s">
        <v>706</v>
      </c>
      <c r="L19" s="3" t="s">
        <v>277</v>
      </c>
      <c r="M19" s="3"/>
      <c r="N19" s="3" t="s">
        <v>230</v>
      </c>
      <c r="O19" s="3"/>
      <c r="P19" s="3"/>
      <c r="Q19" s="2"/>
      <c r="R19" s="2"/>
      <c r="U19" s="1" t="str">
        <f t="shared" si="0"/>
        <v>PRES_START_DATE VARCHAR(8) NOT NULL  ,</v>
      </c>
      <c r="Z19" s="1" t="s">
        <v>1065</v>
      </c>
      <c r="AA19" s="1" t="str">
        <f t="shared" si="1"/>
        <v>○</v>
      </c>
      <c r="AC19" s="1" t="str">
        <f t="shared" si="2"/>
        <v>pres_start_date AS pres_start_date,</v>
      </c>
    </row>
    <row r="20" spans="1:29">
      <c r="A20" s="2">
        <v>13</v>
      </c>
      <c r="B20" s="2"/>
      <c r="C20" s="2" t="s">
        <v>180</v>
      </c>
      <c r="D20" s="2" t="s">
        <v>707</v>
      </c>
      <c r="E20" s="3" t="s">
        <v>708</v>
      </c>
      <c r="F20" s="3" t="s">
        <v>709</v>
      </c>
      <c r="G20" s="2" t="s">
        <v>217</v>
      </c>
      <c r="H20" s="2"/>
      <c r="I20" s="28"/>
      <c r="J20" s="2" t="s">
        <v>710</v>
      </c>
      <c r="K20" s="2" t="s">
        <v>711</v>
      </c>
      <c r="L20" s="3" t="s">
        <v>277</v>
      </c>
      <c r="M20" s="3"/>
      <c r="N20" s="3" t="s">
        <v>230</v>
      </c>
      <c r="O20" s="3"/>
      <c r="P20" s="3"/>
      <c r="Q20" s="2"/>
      <c r="R20" s="2"/>
      <c r="U20" s="1" t="str">
        <f t="shared" si="0"/>
        <v>PRES_END_DATE VARCHAR(8)   ,</v>
      </c>
      <c r="Z20" s="1" t="s">
        <v>1066</v>
      </c>
      <c r="AA20" s="1" t="str">
        <f t="shared" si="1"/>
        <v>○</v>
      </c>
      <c r="AC20" s="1" t="str">
        <f t="shared" si="2"/>
        <v>pres_end_date AS pres_end_date,</v>
      </c>
    </row>
    <row r="21" spans="1:29" ht="33">
      <c r="A21" s="43">
        <v>14</v>
      </c>
      <c r="B21" s="43"/>
      <c r="C21" s="43"/>
      <c r="D21" s="43" t="s">
        <v>712</v>
      </c>
      <c r="E21" s="44" t="s">
        <v>713</v>
      </c>
      <c r="F21" s="44" t="s">
        <v>714</v>
      </c>
      <c r="G21" s="43" t="s">
        <v>103</v>
      </c>
      <c r="H21" s="43" t="s">
        <v>169</v>
      </c>
      <c r="I21" s="43" t="s">
        <v>715</v>
      </c>
      <c r="J21" s="43" t="s">
        <v>178</v>
      </c>
      <c r="K21" s="43" t="s">
        <v>178</v>
      </c>
      <c r="L21" s="43" t="s">
        <v>178</v>
      </c>
      <c r="M21" s="44" t="s">
        <v>716</v>
      </c>
      <c r="N21" s="44"/>
      <c r="O21" s="44"/>
      <c r="P21" s="44"/>
      <c r="Q21" s="44" t="s">
        <v>1144</v>
      </c>
      <c r="R21" s="43"/>
      <c r="U21" s="1" t="str">
        <f t="shared" si="0"/>
        <v>SCH_PRES_START_DATE DATE NOT NULL  ,</v>
      </c>
      <c r="Z21" s="1" t="s">
        <v>1067</v>
      </c>
      <c r="AA21" s="1" t="str">
        <f t="shared" si="1"/>
        <v>○</v>
      </c>
      <c r="AC21" s="1" t="str">
        <f t="shared" si="2"/>
        <v>sch_pres_start_date AS sch_pres_start_date,</v>
      </c>
    </row>
    <row r="22" spans="1:29" ht="33">
      <c r="A22" s="2">
        <v>15</v>
      </c>
      <c r="B22" s="2"/>
      <c r="C22" s="2"/>
      <c r="D22" s="2" t="s">
        <v>717</v>
      </c>
      <c r="E22" s="3" t="s">
        <v>718</v>
      </c>
      <c r="F22" s="3" t="s">
        <v>719</v>
      </c>
      <c r="G22" s="2" t="s">
        <v>103</v>
      </c>
      <c r="H22" s="2" t="s">
        <v>169</v>
      </c>
      <c r="I22" s="2" t="s">
        <v>234</v>
      </c>
      <c r="J22" s="2" t="s">
        <v>178</v>
      </c>
      <c r="K22" s="2" t="s">
        <v>178</v>
      </c>
      <c r="L22" s="2" t="s">
        <v>178</v>
      </c>
      <c r="M22" s="3" t="s">
        <v>720</v>
      </c>
      <c r="N22" s="3"/>
      <c r="O22" s="3"/>
      <c r="P22" s="3"/>
      <c r="Q22" s="2"/>
      <c r="R22" s="2"/>
      <c r="U22" s="1" t="str">
        <f t="shared" si="0"/>
        <v>SCH_PRES_END_DATE DATE NOT NULL  ,</v>
      </c>
      <c r="Z22" s="1" t="s">
        <v>1068</v>
      </c>
      <c r="AA22" s="1" t="str">
        <f t="shared" si="1"/>
        <v>○</v>
      </c>
      <c r="AC22" s="1" t="str">
        <f t="shared" si="2"/>
        <v>sch_pres_end_date AS sch_pres_end_date,</v>
      </c>
    </row>
    <row r="23" spans="1:29" ht="66">
      <c r="A23" s="43">
        <v>16</v>
      </c>
      <c r="B23" s="43"/>
      <c r="C23" s="43" t="s">
        <v>180</v>
      </c>
      <c r="D23" s="43" t="s">
        <v>721</v>
      </c>
      <c r="E23" s="44" t="s">
        <v>722</v>
      </c>
      <c r="F23" s="44" t="s">
        <v>723</v>
      </c>
      <c r="G23" s="43" t="s">
        <v>187</v>
      </c>
      <c r="H23" s="43"/>
      <c r="I23" s="45" t="s">
        <v>170</v>
      </c>
      <c r="J23" s="45" t="s">
        <v>170</v>
      </c>
      <c r="K23" s="45" t="s">
        <v>170</v>
      </c>
      <c r="L23" s="45" t="s">
        <v>170</v>
      </c>
      <c r="M23" s="44" t="s">
        <v>724</v>
      </c>
      <c r="N23" s="44" t="s">
        <v>725</v>
      </c>
      <c r="O23" s="44"/>
      <c r="P23" s="44"/>
      <c r="Q23" s="44" t="s">
        <v>1142</v>
      </c>
      <c r="R23" s="43" t="s">
        <v>1055</v>
      </c>
      <c r="U23" s="1" t="str">
        <f t="shared" si="0"/>
        <v>PRES_MEDICINE_CD_YJ VARCHAR(16)   ,</v>
      </c>
      <c r="Z23" s="1" t="s">
        <v>1069</v>
      </c>
      <c r="AA23" s="1" t="str">
        <f t="shared" si="1"/>
        <v>○</v>
      </c>
      <c r="AC23" s="1" t="str">
        <f t="shared" si="2"/>
        <v>pres_medicine_cd_yj AS pres_medicine_cd_yj,</v>
      </c>
    </row>
    <row r="24" spans="1:29" ht="66">
      <c r="A24" s="2">
        <v>16</v>
      </c>
      <c r="B24" s="2"/>
      <c r="C24" s="2" t="s">
        <v>180</v>
      </c>
      <c r="D24" s="2" t="s">
        <v>726</v>
      </c>
      <c r="E24" s="3" t="s">
        <v>727</v>
      </c>
      <c r="F24" s="3" t="s">
        <v>728</v>
      </c>
      <c r="G24" s="2" t="s">
        <v>187</v>
      </c>
      <c r="H24" s="2"/>
      <c r="I24" s="28" t="s">
        <v>170</v>
      </c>
      <c r="J24" s="2" t="s">
        <v>178</v>
      </c>
      <c r="K24" s="2" t="s">
        <v>178</v>
      </c>
      <c r="L24" s="2" t="s">
        <v>178</v>
      </c>
      <c r="M24" s="29" t="s">
        <v>178</v>
      </c>
      <c r="N24" s="3"/>
      <c r="O24" s="3"/>
      <c r="P24" s="3"/>
      <c r="Q24" s="2"/>
      <c r="R24" s="2"/>
      <c r="U24" s="1" t="str">
        <f t="shared" si="0"/>
        <v>SCH_PRES_MEDICINE_CD_YJ4 VARCHAR(16)   ,</v>
      </c>
      <c r="Z24" s="1" t="s">
        <v>726</v>
      </c>
      <c r="AA24" s="1" t="str">
        <f t="shared" si="1"/>
        <v>○</v>
      </c>
      <c r="AC24" s="1" t="str">
        <f t="shared" si="2"/>
        <v>sch_pres_medicine_cd_yj4 AS sch_pres_medicine_cd_yj4,</v>
      </c>
    </row>
    <row r="25" spans="1:29" ht="66">
      <c r="A25" s="2">
        <v>16</v>
      </c>
      <c r="B25" s="2"/>
      <c r="C25" s="2" t="s">
        <v>180</v>
      </c>
      <c r="D25" s="2" t="s">
        <v>729</v>
      </c>
      <c r="E25" s="3" t="s">
        <v>730</v>
      </c>
      <c r="F25" s="3" t="s">
        <v>731</v>
      </c>
      <c r="G25" s="2" t="s">
        <v>187</v>
      </c>
      <c r="H25" s="2"/>
      <c r="I25" s="28" t="s">
        <v>170</v>
      </c>
      <c r="J25" s="2" t="s">
        <v>178</v>
      </c>
      <c r="K25" s="2" t="s">
        <v>178</v>
      </c>
      <c r="L25" s="2" t="s">
        <v>178</v>
      </c>
      <c r="M25" s="29" t="s">
        <v>178</v>
      </c>
      <c r="N25" s="3"/>
      <c r="O25" s="3"/>
      <c r="P25" s="3"/>
      <c r="Q25" s="2"/>
      <c r="R25" s="2"/>
      <c r="U25" s="1" t="str">
        <f t="shared" si="0"/>
        <v>SCH_PRES_MEDICINE_CD_YJ7 VARCHAR(16)   ,</v>
      </c>
      <c r="Z25" s="1" t="s">
        <v>729</v>
      </c>
      <c r="AA25" s="1" t="str">
        <f t="shared" si="1"/>
        <v>○</v>
      </c>
      <c r="AC25" s="1" t="str">
        <f t="shared" si="2"/>
        <v>sch_pres_medicine_cd_yj7 AS sch_pres_medicine_cd_yj7,</v>
      </c>
    </row>
    <row r="26" spans="1:29" ht="66">
      <c r="A26" s="43">
        <v>17</v>
      </c>
      <c r="B26" s="43"/>
      <c r="C26" s="43" t="s">
        <v>180</v>
      </c>
      <c r="D26" s="43" t="s">
        <v>732</v>
      </c>
      <c r="E26" s="44" t="s">
        <v>733</v>
      </c>
      <c r="F26" s="44" t="s">
        <v>734</v>
      </c>
      <c r="G26" s="43" t="s">
        <v>187</v>
      </c>
      <c r="H26" s="43"/>
      <c r="I26" s="45" t="s">
        <v>170</v>
      </c>
      <c r="J26" s="43" t="s">
        <v>735</v>
      </c>
      <c r="K26" s="44" t="s">
        <v>736</v>
      </c>
      <c r="L26" s="44" t="s">
        <v>277</v>
      </c>
      <c r="M26" s="44"/>
      <c r="N26" s="44" t="s">
        <v>725</v>
      </c>
      <c r="O26" s="44"/>
      <c r="P26" s="44"/>
      <c r="Q26" s="43" t="s">
        <v>1143</v>
      </c>
      <c r="R26" s="43"/>
      <c r="U26" s="1" t="str">
        <f t="shared" si="0"/>
        <v>PRES_MEDICINE_CD_HOT VARCHAR(16)   ,</v>
      </c>
      <c r="Z26" s="1" t="s">
        <v>1070</v>
      </c>
      <c r="AA26" s="1" t="str">
        <f t="shared" si="1"/>
        <v>○</v>
      </c>
      <c r="AC26" s="1" t="str">
        <f t="shared" si="2"/>
        <v>pres_medicine_cd_hot AS pres_medicine_cd_hot,</v>
      </c>
    </row>
    <row r="27" spans="1:29" ht="66">
      <c r="A27" s="2">
        <v>16</v>
      </c>
      <c r="B27" s="2"/>
      <c r="C27" s="2" t="s">
        <v>180</v>
      </c>
      <c r="D27" s="2" t="s">
        <v>737</v>
      </c>
      <c r="E27" s="3" t="s">
        <v>738</v>
      </c>
      <c r="F27" s="3" t="s">
        <v>739</v>
      </c>
      <c r="G27" s="2" t="s">
        <v>187</v>
      </c>
      <c r="H27" s="2"/>
      <c r="I27" s="28" t="s">
        <v>170</v>
      </c>
      <c r="J27" s="2" t="s">
        <v>178</v>
      </c>
      <c r="K27" s="2" t="s">
        <v>178</v>
      </c>
      <c r="L27" s="2" t="s">
        <v>178</v>
      </c>
      <c r="M27" s="29" t="s">
        <v>178</v>
      </c>
      <c r="N27" s="3"/>
      <c r="O27" s="3"/>
      <c r="P27" s="3"/>
      <c r="Q27" s="2"/>
      <c r="R27" s="2"/>
      <c r="U27" s="1" t="str">
        <f t="shared" si="0"/>
        <v>SCH_PRES_MEDICINE_CD_HOT7 VARCHAR(16)   ,</v>
      </c>
      <c r="Z27" s="1" t="s">
        <v>737</v>
      </c>
      <c r="AA27" s="1" t="str">
        <f t="shared" si="1"/>
        <v>○</v>
      </c>
      <c r="AC27" s="1" t="str">
        <f t="shared" si="2"/>
        <v>sch_pres_medicine_cd_hot7 AS sch_pres_medicine_cd_hot7,</v>
      </c>
    </row>
    <row r="28" spans="1:29" ht="66">
      <c r="A28" s="2">
        <v>16</v>
      </c>
      <c r="B28" s="2"/>
      <c r="C28" s="2" t="s">
        <v>180</v>
      </c>
      <c r="D28" s="2" t="s">
        <v>740</v>
      </c>
      <c r="E28" s="3" t="s">
        <v>741</v>
      </c>
      <c r="F28" s="3" t="s">
        <v>742</v>
      </c>
      <c r="G28" s="2" t="s">
        <v>187</v>
      </c>
      <c r="H28" s="2"/>
      <c r="I28" s="28" t="s">
        <v>170</v>
      </c>
      <c r="J28" s="2" t="s">
        <v>178</v>
      </c>
      <c r="K28" s="2" t="s">
        <v>178</v>
      </c>
      <c r="L28" s="2" t="s">
        <v>178</v>
      </c>
      <c r="M28" s="29" t="s">
        <v>178</v>
      </c>
      <c r="N28" s="3"/>
      <c r="O28" s="3"/>
      <c r="P28" s="3"/>
      <c r="Q28" s="2"/>
      <c r="R28" s="2"/>
      <c r="U28" s="1" t="str">
        <f t="shared" si="0"/>
        <v>SCH_PRES_MEDICINE_CD_HOT9 VARCHAR(16)   ,</v>
      </c>
      <c r="Z28" s="1" t="s">
        <v>740</v>
      </c>
      <c r="AA28" s="1" t="str">
        <f t="shared" si="1"/>
        <v>○</v>
      </c>
      <c r="AC28" s="1" t="str">
        <f t="shared" si="2"/>
        <v>sch_pres_medicine_cd_hot9 AS sch_pres_medicine_cd_hot9,</v>
      </c>
    </row>
    <row r="29" spans="1:29" ht="66">
      <c r="A29" s="2">
        <v>18</v>
      </c>
      <c r="B29" s="2" t="s">
        <v>135</v>
      </c>
      <c r="C29" s="2" t="s">
        <v>180</v>
      </c>
      <c r="D29" s="2" t="s">
        <v>743</v>
      </c>
      <c r="E29" s="3" t="s">
        <v>744</v>
      </c>
      <c r="F29" s="3" t="s">
        <v>745</v>
      </c>
      <c r="G29" s="2" t="s">
        <v>289</v>
      </c>
      <c r="H29" s="2" t="s">
        <v>169</v>
      </c>
      <c r="I29" s="28"/>
      <c r="J29" s="2" t="s">
        <v>735</v>
      </c>
      <c r="K29" s="3" t="s">
        <v>746</v>
      </c>
      <c r="L29" s="3" t="s">
        <v>173</v>
      </c>
      <c r="M29" s="3"/>
      <c r="N29" s="3" t="s">
        <v>725</v>
      </c>
      <c r="O29" s="3"/>
      <c r="P29" s="3"/>
      <c r="Q29" s="2"/>
      <c r="R29" s="2"/>
      <c r="U29" s="1" t="str">
        <f t="shared" si="0"/>
        <v>PRES_MEDICINE_CD_L TEXT NOT NULL  ,</v>
      </c>
      <c r="Z29" s="1" t="s">
        <v>1071</v>
      </c>
      <c r="AA29" s="1" t="str">
        <f t="shared" si="1"/>
        <v>○</v>
      </c>
      <c r="AC29" s="1" t="str">
        <f t="shared" si="2"/>
        <v>pres_medicine_cd_l AS pres_medicine_cd_l,</v>
      </c>
    </row>
    <row r="30" spans="1:29" ht="66">
      <c r="A30" s="43">
        <v>19</v>
      </c>
      <c r="B30" s="43"/>
      <c r="C30" s="43" t="s">
        <v>180</v>
      </c>
      <c r="D30" s="43" t="s">
        <v>747</v>
      </c>
      <c r="E30" s="44" t="s">
        <v>748</v>
      </c>
      <c r="F30" s="44" t="s">
        <v>749</v>
      </c>
      <c r="G30" s="43" t="s">
        <v>289</v>
      </c>
      <c r="H30" s="43"/>
      <c r="I30" s="45"/>
      <c r="J30" s="43" t="s">
        <v>735</v>
      </c>
      <c r="K30" s="44" t="s">
        <v>750</v>
      </c>
      <c r="L30" s="44" t="s">
        <v>277</v>
      </c>
      <c r="M30" s="44" t="s">
        <v>724</v>
      </c>
      <c r="N30" s="44" t="s">
        <v>725</v>
      </c>
      <c r="O30" s="44"/>
      <c r="P30" s="44"/>
      <c r="Q30" s="43" t="s">
        <v>1056</v>
      </c>
      <c r="R30" s="43"/>
      <c r="U30" s="1" t="str">
        <f t="shared" si="0"/>
        <v>PRES_MEDICINE_NAME_L TEXT   ,</v>
      </c>
      <c r="Z30" s="1" t="s">
        <v>1072</v>
      </c>
      <c r="AA30" s="1" t="str">
        <f t="shared" si="1"/>
        <v>○</v>
      </c>
      <c r="AC30" s="1" t="str">
        <f t="shared" si="2"/>
        <v>pres_medicine_name_l AS pres_medicine_name_l,</v>
      </c>
    </row>
    <row r="31" spans="1:29">
      <c r="A31" s="2">
        <v>20</v>
      </c>
      <c r="B31" s="2"/>
      <c r="C31" s="2"/>
      <c r="D31" s="2" t="s">
        <v>751</v>
      </c>
      <c r="E31" s="3" t="s">
        <v>752</v>
      </c>
      <c r="F31" s="3" t="s">
        <v>753</v>
      </c>
      <c r="G31" s="2" t="s">
        <v>602</v>
      </c>
      <c r="H31" s="2"/>
      <c r="I31" s="28"/>
      <c r="J31" s="2" t="s">
        <v>754</v>
      </c>
      <c r="K31" s="3" t="s">
        <v>755</v>
      </c>
      <c r="L31" s="3" t="s">
        <v>277</v>
      </c>
      <c r="M31" s="3"/>
      <c r="N31" s="3" t="s">
        <v>756</v>
      </c>
      <c r="O31" s="3"/>
      <c r="P31" s="3"/>
      <c r="Q31" s="2"/>
      <c r="R31" s="2"/>
      <c r="U31" s="1" t="str">
        <f t="shared" si="0"/>
        <v>PRES_DOSAGE_MIN REAL   ,</v>
      </c>
      <c r="Z31" s="1" t="s">
        <v>1073</v>
      </c>
      <c r="AA31" s="1" t="str">
        <f t="shared" si="1"/>
        <v>○</v>
      </c>
      <c r="AC31" s="1" t="str">
        <f t="shared" si="2"/>
        <v>pres_dosage_min AS pres_dosage_min,</v>
      </c>
    </row>
    <row r="32" spans="1:29">
      <c r="A32" s="2">
        <v>21</v>
      </c>
      <c r="B32" s="2"/>
      <c r="C32" s="2"/>
      <c r="D32" s="2" t="s">
        <v>757</v>
      </c>
      <c r="E32" s="3" t="s">
        <v>758</v>
      </c>
      <c r="F32" s="3" t="s">
        <v>759</v>
      </c>
      <c r="G32" s="2" t="s">
        <v>602</v>
      </c>
      <c r="H32" s="2"/>
      <c r="I32" s="28"/>
      <c r="J32" s="2" t="s">
        <v>760</v>
      </c>
      <c r="K32" s="3" t="s">
        <v>761</v>
      </c>
      <c r="L32" s="3" t="s">
        <v>277</v>
      </c>
      <c r="M32" s="3"/>
      <c r="N32" s="3" t="s">
        <v>756</v>
      </c>
      <c r="O32" s="3"/>
      <c r="P32" s="3"/>
      <c r="Q32" s="2"/>
      <c r="R32" s="2"/>
      <c r="U32" s="1" t="str">
        <f t="shared" si="0"/>
        <v>PRES_DOSAGE_MAX REAL   ,</v>
      </c>
      <c r="Z32" s="1" t="s">
        <v>1074</v>
      </c>
      <c r="AA32" s="1" t="str">
        <f t="shared" si="1"/>
        <v>○</v>
      </c>
      <c r="AC32" s="1" t="str">
        <f t="shared" si="2"/>
        <v>pres_dosage_max AS pres_dosage_max,</v>
      </c>
    </row>
    <row r="33" spans="1:29" ht="49.5">
      <c r="A33" s="2">
        <v>22</v>
      </c>
      <c r="B33" s="2"/>
      <c r="C33" s="2"/>
      <c r="D33" s="2" t="s">
        <v>762</v>
      </c>
      <c r="E33" s="3" t="s">
        <v>763</v>
      </c>
      <c r="F33" s="3" t="s">
        <v>764</v>
      </c>
      <c r="G33" s="2" t="s">
        <v>217</v>
      </c>
      <c r="H33" s="2"/>
      <c r="I33" s="28"/>
      <c r="J33" s="2" t="s">
        <v>178</v>
      </c>
      <c r="K33" s="2" t="s">
        <v>178</v>
      </c>
      <c r="L33" s="3" t="s">
        <v>277</v>
      </c>
      <c r="M33" s="3"/>
      <c r="N33" s="3" t="s">
        <v>756</v>
      </c>
      <c r="O33" s="3"/>
      <c r="P33" s="3"/>
      <c r="Q33" s="2"/>
      <c r="R33" s="2"/>
      <c r="U33" s="1" t="str">
        <f t="shared" si="0"/>
        <v>PRES_DOSAGE_UNIT_CD_S VARCHAR(8)   ,</v>
      </c>
      <c r="AA33" s="1" t="str">
        <f t="shared" si="1"/>
        <v>×</v>
      </c>
      <c r="AC33" s="1" t="str">
        <f t="shared" si="2"/>
        <v>pres_dosage_unit_cd_s AS pres_dosage_unit_cd_s,</v>
      </c>
    </row>
    <row r="34" spans="1:29" ht="49.5">
      <c r="A34" s="2">
        <v>23</v>
      </c>
      <c r="B34" s="2"/>
      <c r="C34" s="2"/>
      <c r="D34" s="2" t="s">
        <v>765</v>
      </c>
      <c r="E34" s="3" t="s">
        <v>766</v>
      </c>
      <c r="F34" s="3" t="s">
        <v>767</v>
      </c>
      <c r="G34" s="2" t="s">
        <v>289</v>
      </c>
      <c r="H34" s="2"/>
      <c r="I34" s="28"/>
      <c r="J34" s="2" t="s">
        <v>768</v>
      </c>
      <c r="K34" s="3" t="s">
        <v>769</v>
      </c>
      <c r="L34" s="3" t="s">
        <v>277</v>
      </c>
      <c r="M34" s="3"/>
      <c r="N34" s="3" t="s">
        <v>756</v>
      </c>
      <c r="O34" s="3"/>
      <c r="P34" s="3"/>
      <c r="Q34" s="2"/>
      <c r="R34" s="2"/>
      <c r="U34" s="1" t="str">
        <f t="shared" si="0"/>
        <v>PRES_DOSAGE_UNIT_CD_L TEXT   ,</v>
      </c>
      <c r="Z34" s="1" t="s">
        <v>1075</v>
      </c>
      <c r="AA34" s="1" t="str">
        <f t="shared" si="1"/>
        <v>○</v>
      </c>
      <c r="AC34" s="1" t="str">
        <f t="shared" si="2"/>
        <v>pres_dosage_unit_cd_l AS pres_dosage_unit_cd_l,</v>
      </c>
    </row>
    <row r="35" spans="1:29" ht="49.5">
      <c r="A35" s="2">
        <v>24</v>
      </c>
      <c r="B35" s="2"/>
      <c r="C35" s="2"/>
      <c r="D35" s="2" t="s">
        <v>770</v>
      </c>
      <c r="E35" s="3" t="s">
        <v>771</v>
      </c>
      <c r="F35" s="3" t="s">
        <v>772</v>
      </c>
      <c r="G35" s="2" t="s">
        <v>289</v>
      </c>
      <c r="H35" s="2"/>
      <c r="I35" s="28"/>
      <c r="J35" s="2" t="s">
        <v>768</v>
      </c>
      <c r="K35" s="3" t="s">
        <v>773</v>
      </c>
      <c r="L35" s="3" t="s">
        <v>277</v>
      </c>
      <c r="M35" s="3"/>
      <c r="N35" s="3" t="s">
        <v>756</v>
      </c>
      <c r="O35" s="3"/>
      <c r="P35" s="3"/>
      <c r="Q35" s="2"/>
      <c r="R35" s="2"/>
      <c r="U35" s="1" t="str">
        <f t="shared" si="0"/>
        <v>PRES_DOSAGE_UNIT_NAME_L TEXT   ,</v>
      </c>
      <c r="Z35" s="1" t="s">
        <v>1076</v>
      </c>
      <c r="AA35" s="1" t="str">
        <f t="shared" si="1"/>
        <v>○</v>
      </c>
      <c r="AC35" s="1" t="str">
        <f t="shared" si="2"/>
        <v>pres_dosage_unit_name_l AS pres_dosage_unit_name_l,</v>
      </c>
    </row>
    <row r="36" spans="1:29" ht="33">
      <c r="A36" s="43">
        <v>25</v>
      </c>
      <c r="B36" s="43"/>
      <c r="C36" s="43"/>
      <c r="D36" s="43" t="s">
        <v>774</v>
      </c>
      <c r="E36" s="44" t="s">
        <v>775</v>
      </c>
      <c r="F36" s="44" t="s">
        <v>776</v>
      </c>
      <c r="G36" s="43" t="s">
        <v>602</v>
      </c>
      <c r="H36" s="43" t="s">
        <v>169</v>
      </c>
      <c r="I36" s="45"/>
      <c r="J36" s="43" t="s">
        <v>777</v>
      </c>
      <c r="K36" s="44" t="s">
        <v>778</v>
      </c>
      <c r="L36" s="44" t="s">
        <v>173</v>
      </c>
      <c r="M36" s="44" t="s">
        <v>779</v>
      </c>
      <c r="N36" s="44" t="s">
        <v>756</v>
      </c>
      <c r="O36" s="44"/>
      <c r="P36" s="44"/>
      <c r="Q36" s="43" t="s">
        <v>1058</v>
      </c>
      <c r="R36" s="43"/>
      <c r="U36" s="1" t="str">
        <f t="shared" si="0"/>
        <v>PRES_DISPENSE_AMOUNT REAL NOT NULL  ,</v>
      </c>
      <c r="Z36" s="1" t="s">
        <v>1077</v>
      </c>
      <c r="AA36" s="1" t="str">
        <f t="shared" si="1"/>
        <v>○</v>
      </c>
      <c r="AC36" s="1" t="str">
        <f t="shared" si="2"/>
        <v>pres_dispense_amount AS pres_dispense_amount,</v>
      </c>
    </row>
    <row r="37" spans="1:29" ht="49.5">
      <c r="A37" s="43">
        <v>26</v>
      </c>
      <c r="B37" s="43"/>
      <c r="C37" s="43"/>
      <c r="D37" s="43" t="s">
        <v>780</v>
      </c>
      <c r="E37" s="44" t="s">
        <v>781</v>
      </c>
      <c r="F37" s="44" t="s">
        <v>782</v>
      </c>
      <c r="G37" s="43" t="s">
        <v>217</v>
      </c>
      <c r="H37" s="43"/>
      <c r="I37" s="45"/>
      <c r="J37" s="43" t="s">
        <v>178</v>
      </c>
      <c r="K37" s="43" t="s">
        <v>178</v>
      </c>
      <c r="L37" s="44" t="s">
        <v>143</v>
      </c>
      <c r="M37" s="44" t="s">
        <v>783</v>
      </c>
      <c r="N37" s="44" t="s">
        <v>756</v>
      </c>
      <c r="O37" s="44"/>
      <c r="P37" s="44"/>
      <c r="Q37" s="43" t="s">
        <v>1057</v>
      </c>
      <c r="R37" s="43"/>
      <c r="U37" s="1" t="str">
        <f t="shared" si="0"/>
        <v>PRES_DISPENSE_UNIT_CD_S VARCHAR(8)   ,</v>
      </c>
      <c r="AA37" s="1" t="str">
        <f t="shared" si="1"/>
        <v>×</v>
      </c>
      <c r="AC37" s="1" t="str">
        <f t="shared" si="2"/>
        <v>pres_dispense_unit_cd_s AS pres_dispense_unit_cd_s,</v>
      </c>
    </row>
    <row r="38" spans="1:29" ht="49.5">
      <c r="A38" s="2">
        <v>27</v>
      </c>
      <c r="B38" s="2"/>
      <c r="C38" s="2"/>
      <c r="D38" s="2" t="s">
        <v>784</v>
      </c>
      <c r="E38" s="3" t="s">
        <v>785</v>
      </c>
      <c r="F38" s="3" t="s">
        <v>786</v>
      </c>
      <c r="G38" s="2" t="s">
        <v>539</v>
      </c>
      <c r="H38" s="2" t="s">
        <v>169</v>
      </c>
      <c r="I38" s="28"/>
      <c r="J38" s="2" t="s">
        <v>787</v>
      </c>
      <c r="K38" s="3" t="s">
        <v>788</v>
      </c>
      <c r="L38" s="2" t="s">
        <v>173</v>
      </c>
      <c r="M38" s="3"/>
      <c r="N38" s="3" t="s">
        <v>756</v>
      </c>
      <c r="O38" s="3"/>
      <c r="P38" s="3"/>
      <c r="Q38" s="2"/>
      <c r="R38" s="2"/>
      <c r="U38" s="1" t="str">
        <f t="shared" si="0"/>
        <v>PRES_DISPENSE_UNIT_CD_L VARCHAR(32) NOT NULL  ,</v>
      </c>
      <c r="Z38" s="1" t="s">
        <v>1078</v>
      </c>
      <c r="AA38" s="1" t="str">
        <f t="shared" si="1"/>
        <v>○</v>
      </c>
      <c r="AC38" s="1" t="str">
        <f t="shared" si="2"/>
        <v>pres_dispense_unit_cd_l AS pres_dispense_unit_cd_l,</v>
      </c>
    </row>
    <row r="39" spans="1:29" ht="49.5">
      <c r="A39" s="43">
        <v>28</v>
      </c>
      <c r="B39" s="43"/>
      <c r="C39" s="43"/>
      <c r="D39" s="43" t="s">
        <v>789</v>
      </c>
      <c r="E39" s="44" t="s">
        <v>790</v>
      </c>
      <c r="F39" s="44" t="s">
        <v>791</v>
      </c>
      <c r="G39" s="43" t="s">
        <v>289</v>
      </c>
      <c r="H39" s="43" t="s">
        <v>169</v>
      </c>
      <c r="I39" s="45"/>
      <c r="J39" s="43" t="s">
        <v>787</v>
      </c>
      <c r="K39" s="44" t="s">
        <v>792</v>
      </c>
      <c r="L39" s="43" t="s">
        <v>173</v>
      </c>
      <c r="M39" s="44" t="s">
        <v>793</v>
      </c>
      <c r="N39" s="44" t="s">
        <v>756</v>
      </c>
      <c r="O39" s="44"/>
      <c r="P39" s="44"/>
      <c r="Q39" s="43" t="s">
        <v>1057</v>
      </c>
      <c r="R39" s="43"/>
      <c r="U39" s="1" t="str">
        <f t="shared" si="0"/>
        <v>PRES_DISPENSE_UNIT_NAME_L TEXT NOT NULL  ,</v>
      </c>
      <c r="Z39" s="1" t="s">
        <v>1079</v>
      </c>
      <c r="AA39" s="1" t="str">
        <f t="shared" si="1"/>
        <v>○</v>
      </c>
      <c r="AC39" s="1" t="str">
        <f t="shared" si="2"/>
        <v>pres_dispense_unit_name_l AS pres_dispense_unit_name_l,</v>
      </c>
    </row>
    <row r="40" spans="1:29" ht="33">
      <c r="A40" s="2">
        <v>29</v>
      </c>
      <c r="B40" s="2"/>
      <c r="C40" s="2"/>
      <c r="D40" s="2" t="s">
        <v>794</v>
      </c>
      <c r="E40" s="3" t="s">
        <v>795</v>
      </c>
      <c r="F40" s="3" t="s">
        <v>796</v>
      </c>
      <c r="G40" s="2" t="s">
        <v>602</v>
      </c>
      <c r="H40" s="2"/>
      <c r="I40" s="28"/>
      <c r="J40" s="2" t="s">
        <v>797</v>
      </c>
      <c r="K40" s="3" t="s">
        <v>798</v>
      </c>
      <c r="L40" s="2" t="s">
        <v>303</v>
      </c>
      <c r="M40" s="3"/>
      <c r="N40" s="3" t="s">
        <v>756</v>
      </c>
      <c r="O40" s="3"/>
      <c r="P40" s="3"/>
      <c r="Q40" s="2"/>
      <c r="R40" s="2"/>
      <c r="U40" s="1" t="str">
        <f t="shared" si="0"/>
        <v>PRES_TOTAL_QUANTITY REAL   ,</v>
      </c>
      <c r="Z40" s="1" t="s">
        <v>1080</v>
      </c>
      <c r="AA40" s="1" t="str">
        <f t="shared" si="1"/>
        <v>○</v>
      </c>
      <c r="AC40" s="1" t="str">
        <f t="shared" si="2"/>
        <v>pres_total_quantity AS pres_total_quantity,</v>
      </c>
    </row>
    <row r="41" spans="1:29" ht="49.5">
      <c r="A41" s="2">
        <v>30</v>
      </c>
      <c r="B41" s="2"/>
      <c r="C41" s="2"/>
      <c r="D41" s="2" t="s">
        <v>799</v>
      </c>
      <c r="E41" s="3" t="s">
        <v>800</v>
      </c>
      <c r="F41" s="3" t="s">
        <v>801</v>
      </c>
      <c r="G41" s="2" t="s">
        <v>217</v>
      </c>
      <c r="H41" s="2"/>
      <c r="I41" s="28"/>
      <c r="J41" s="2" t="s">
        <v>178</v>
      </c>
      <c r="K41" s="2" t="s">
        <v>178</v>
      </c>
      <c r="L41" s="2" t="s">
        <v>303</v>
      </c>
      <c r="M41" s="3"/>
      <c r="N41" s="3" t="s">
        <v>756</v>
      </c>
      <c r="O41" s="3"/>
      <c r="P41" s="3"/>
      <c r="Q41" s="2"/>
      <c r="R41" s="2"/>
      <c r="U41" s="1" t="str">
        <f t="shared" si="0"/>
        <v>PRES_TOTAL_UNIT_CD_S VARCHAR(8)   ,</v>
      </c>
      <c r="AA41" s="1" t="str">
        <f t="shared" si="1"/>
        <v>×</v>
      </c>
      <c r="AC41" s="1" t="str">
        <f t="shared" si="2"/>
        <v>pres_total_unit_cd_s AS pres_total_unit_cd_s,</v>
      </c>
    </row>
    <row r="42" spans="1:29" ht="33">
      <c r="A42" s="2">
        <v>31</v>
      </c>
      <c r="B42" s="2"/>
      <c r="C42" s="2"/>
      <c r="D42" s="2" t="s">
        <v>802</v>
      </c>
      <c r="E42" s="3" t="s">
        <v>803</v>
      </c>
      <c r="F42" s="3" t="s">
        <v>804</v>
      </c>
      <c r="G42" s="2" t="s">
        <v>289</v>
      </c>
      <c r="H42" s="2"/>
      <c r="I42" s="28"/>
      <c r="J42" s="2" t="s">
        <v>797</v>
      </c>
      <c r="K42" s="3" t="s">
        <v>805</v>
      </c>
      <c r="L42" s="2" t="s">
        <v>303</v>
      </c>
      <c r="M42" s="3"/>
      <c r="N42" s="3" t="s">
        <v>756</v>
      </c>
      <c r="O42" s="3"/>
      <c r="P42" s="3"/>
      <c r="Q42" s="2"/>
      <c r="R42" s="2"/>
      <c r="U42" s="1" t="str">
        <f t="shared" si="0"/>
        <v>PRES_TOTAL_UNIT_CD_L TEXT   ,</v>
      </c>
      <c r="Z42" s="1" t="s">
        <v>1081</v>
      </c>
      <c r="AA42" s="1" t="str">
        <f t="shared" si="1"/>
        <v>○</v>
      </c>
      <c r="AC42" s="1" t="str">
        <f t="shared" si="2"/>
        <v>pres_total_unit_cd_l AS pres_total_unit_cd_l,</v>
      </c>
    </row>
    <row r="43" spans="1:29" ht="33">
      <c r="A43" s="2">
        <v>32</v>
      </c>
      <c r="B43" s="2"/>
      <c r="C43" s="2"/>
      <c r="D43" s="2" t="s">
        <v>806</v>
      </c>
      <c r="E43" s="3" t="s">
        <v>807</v>
      </c>
      <c r="F43" s="3" t="s">
        <v>808</v>
      </c>
      <c r="G43" s="2" t="s">
        <v>289</v>
      </c>
      <c r="H43" s="2"/>
      <c r="I43" s="28"/>
      <c r="J43" s="2" t="s">
        <v>797</v>
      </c>
      <c r="K43" s="3" t="s">
        <v>805</v>
      </c>
      <c r="L43" s="2" t="s">
        <v>303</v>
      </c>
      <c r="M43" s="3"/>
      <c r="N43" s="3" t="s">
        <v>756</v>
      </c>
      <c r="O43" s="3"/>
      <c r="P43" s="3"/>
      <c r="Q43" s="2"/>
      <c r="R43" s="2"/>
      <c r="U43" s="1" t="str">
        <f t="shared" si="0"/>
        <v>PRES_TOTAL_UNIT_NAME_L TEXT   ,</v>
      </c>
      <c r="Z43" s="1" t="s">
        <v>1082</v>
      </c>
      <c r="AA43" s="1" t="str">
        <f t="shared" si="1"/>
        <v>○</v>
      </c>
      <c r="AC43" s="1" t="str">
        <f t="shared" si="2"/>
        <v>pres_total_unit_name_l AS pres_total_unit_name_l,</v>
      </c>
    </row>
    <row r="44" spans="1:29" ht="33">
      <c r="A44" s="43">
        <v>33</v>
      </c>
      <c r="B44" s="43"/>
      <c r="C44" s="43"/>
      <c r="D44" s="43" t="s">
        <v>809</v>
      </c>
      <c r="E44" s="44" t="s">
        <v>810</v>
      </c>
      <c r="F44" s="44" t="s">
        <v>811</v>
      </c>
      <c r="G44" s="43" t="s">
        <v>355</v>
      </c>
      <c r="H44" s="43"/>
      <c r="I44" s="45"/>
      <c r="J44" s="43" t="s">
        <v>812</v>
      </c>
      <c r="K44" s="43" t="s">
        <v>813</v>
      </c>
      <c r="L44" s="43" t="s">
        <v>277</v>
      </c>
      <c r="M44" s="44" t="s">
        <v>814</v>
      </c>
      <c r="N44" s="44" t="s">
        <v>756</v>
      </c>
      <c r="O44" s="44"/>
      <c r="P44" s="44"/>
      <c r="Q44" s="44" t="s">
        <v>1160</v>
      </c>
      <c r="R44" s="43"/>
      <c r="U44" s="1" t="str">
        <f t="shared" si="0"/>
        <v>PRES_PERIOD INT   ,</v>
      </c>
      <c r="Z44" s="1" t="s">
        <v>1083</v>
      </c>
      <c r="AA44" s="1" t="str">
        <f t="shared" si="1"/>
        <v>○</v>
      </c>
      <c r="AC44" s="1" t="str">
        <f t="shared" si="2"/>
        <v>pres_period AS pres_period,</v>
      </c>
    </row>
    <row r="45" spans="1:29">
      <c r="A45" s="2">
        <v>34</v>
      </c>
      <c r="B45" s="2"/>
      <c r="C45" s="2"/>
      <c r="D45" s="2" t="s">
        <v>815</v>
      </c>
      <c r="E45" s="3" t="s">
        <v>816</v>
      </c>
      <c r="F45" s="3" t="s">
        <v>817</v>
      </c>
      <c r="G45" s="2" t="s">
        <v>355</v>
      </c>
      <c r="H45" s="2"/>
      <c r="I45" s="28"/>
      <c r="J45" s="2" t="s">
        <v>818</v>
      </c>
      <c r="K45" s="2" t="s">
        <v>819</v>
      </c>
      <c r="L45" s="2" t="s">
        <v>277</v>
      </c>
      <c r="M45" s="3"/>
      <c r="N45" s="3" t="s">
        <v>756</v>
      </c>
      <c r="O45" s="3"/>
      <c r="P45" s="3"/>
      <c r="Q45" s="2"/>
      <c r="R45" s="2"/>
      <c r="U45" s="1" t="str">
        <f t="shared" si="0"/>
        <v>PRES_ACTUAL_DAYS INT   ,</v>
      </c>
      <c r="Z45" s="1" t="s">
        <v>1084</v>
      </c>
      <c r="AA45" s="1" t="str">
        <f t="shared" si="1"/>
        <v>○</v>
      </c>
      <c r="AC45" s="1" t="str">
        <f t="shared" si="2"/>
        <v>pres_actual_days AS pres_actual_days,</v>
      </c>
    </row>
    <row r="46" spans="1:29" ht="31.5" customHeight="1">
      <c r="A46" s="43">
        <v>35</v>
      </c>
      <c r="B46" s="43"/>
      <c r="C46" s="43"/>
      <c r="D46" s="43" t="s">
        <v>820</v>
      </c>
      <c r="E46" s="44" t="s">
        <v>821</v>
      </c>
      <c r="F46" s="44" t="s">
        <v>822</v>
      </c>
      <c r="G46" s="43" t="s">
        <v>187</v>
      </c>
      <c r="H46" s="43"/>
      <c r="I46" s="45"/>
      <c r="J46" s="43" t="s">
        <v>178</v>
      </c>
      <c r="K46" s="43" t="s">
        <v>178</v>
      </c>
      <c r="L46" s="43" t="s">
        <v>143</v>
      </c>
      <c r="M46" s="44" t="s">
        <v>823</v>
      </c>
      <c r="N46" s="44" t="s">
        <v>756</v>
      </c>
      <c r="O46" s="44"/>
      <c r="P46" s="44"/>
      <c r="Q46" s="43" t="s">
        <v>1059</v>
      </c>
      <c r="R46" s="43"/>
      <c r="U46" s="1" t="str">
        <f t="shared" si="0"/>
        <v>PRES_ADMINISTRATION_CD_S VARCHAR(16)   ,</v>
      </c>
      <c r="AA46" s="1" t="str">
        <f t="shared" si="1"/>
        <v>×</v>
      </c>
      <c r="AC46" s="1" t="str">
        <f t="shared" si="2"/>
        <v>pres_administration_cd_s AS pres_administration_cd_s,</v>
      </c>
    </row>
    <row r="47" spans="1:29" ht="49.5">
      <c r="A47" s="43">
        <v>36</v>
      </c>
      <c r="B47" s="43"/>
      <c r="C47" s="43"/>
      <c r="D47" s="43" t="s">
        <v>824</v>
      </c>
      <c r="E47" s="44" t="s">
        <v>825</v>
      </c>
      <c r="F47" s="44" t="s">
        <v>826</v>
      </c>
      <c r="G47" s="43" t="s">
        <v>289</v>
      </c>
      <c r="H47" s="43"/>
      <c r="I47" s="45"/>
      <c r="J47" s="43" t="s">
        <v>178</v>
      </c>
      <c r="K47" s="43" t="s">
        <v>178</v>
      </c>
      <c r="L47" s="43" t="s">
        <v>143</v>
      </c>
      <c r="M47" s="44" t="s">
        <v>823</v>
      </c>
      <c r="N47" s="44" t="s">
        <v>756</v>
      </c>
      <c r="O47" s="44"/>
      <c r="P47" s="44"/>
      <c r="Q47" s="43" t="s">
        <v>1059</v>
      </c>
      <c r="R47" s="43"/>
      <c r="U47" s="1" t="str">
        <f t="shared" si="0"/>
        <v>PRES_ADMINISTRATION_NAME_S TEXT   ,</v>
      </c>
      <c r="AA47" s="1" t="str">
        <f t="shared" si="1"/>
        <v>×</v>
      </c>
      <c r="AC47" s="1" t="str">
        <f t="shared" si="2"/>
        <v>pres_administration_name_s AS pres_administration_name_s,</v>
      </c>
    </row>
    <row r="48" spans="1:29" ht="66">
      <c r="A48" s="2">
        <v>37</v>
      </c>
      <c r="B48" s="2"/>
      <c r="C48" s="2"/>
      <c r="D48" s="2" t="s">
        <v>827</v>
      </c>
      <c r="E48" s="3" t="s">
        <v>828</v>
      </c>
      <c r="F48" s="3" t="s">
        <v>829</v>
      </c>
      <c r="G48" s="2" t="s">
        <v>289</v>
      </c>
      <c r="H48" s="2" t="s">
        <v>169</v>
      </c>
      <c r="I48" s="28"/>
      <c r="J48" s="2" t="s">
        <v>830</v>
      </c>
      <c r="K48" s="3" t="s">
        <v>831</v>
      </c>
      <c r="L48" s="2" t="s">
        <v>141</v>
      </c>
      <c r="M48" s="3"/>
      <c r="N48" s="3" t="s">
        <v>832</v>
      </c>
      <c r="O48" s="3"/>
      <c r="P48" s="3"/>
      <c r="Q48" s="2"/>
      <c r="R48" s="2"/>
      <c r="U48" s="1" t="str">
        <f t="shared" si="0"/>
        <v>PRES_ADMINISTRATION_CD_L TEXT NOT NULL  ,</v>
      </c>
      <c r="Z48" s="1" t="s">
        <v>1085</v>
      </c>
      <c r="AA48" s="1" t="str">
        <f t="shared" si="1"/>
        <v>○</v>
      </c>
      <c r="AC48" s="1" t="str">
        <f t="shared" si="2"/>
        <v>pres_administration_cd_l AS pres_administration_cd_l,</v>
      </c>
    </row>
    <row r="49" spans="1:29" ht="49.5">
      <c r="A49" s="43">
        <v>38</v>
      </c>
      <c r="B49" s="43"/>
      <c r="C49" s="43"/>
      <c r="D49" s="43" t="s">
        <v>833</v>
      </c>
      <c r="E49" s="44" t="s">
        <v>834</v>
      </c>
      <c r="F49" s="44" t="s">
        <v>835</v>
      </c>
      <c r="G49" s="43" t="s">
        <v>289</v>
      </c>
      <c r="H49" s="43" t="s">
        <v>169</v>
      </c>
      <c r="I49" s="45"/>
      <c r="J49" s="43" t="s">
        <v>830</v>
      </c>
      <c r="K49" s="44" t="s">
        <v>836</v>
      </c>
      <c r="L49" s="43" t="s">
        <v>141</v>
      </c>
      <c r="M49" s="44" t="s">
        <v>837</v>
      </c>
      <c r="N49" s="44"/>
      <c r="O49" s="44"/>
      <c r="P49" s="44"/>
      <c r="Q49" s="43" t="s">
        <v>1059</v>
      </c>
      <c r="R49" s="43"/>
      <c r="U49" s="1" t="str">
        <f t="shared" si="0"/>
        <v>PRES_ADMINISTRATION_NAME_L TEXT NOT NULL  ,</v>
      </c>
      <c r="Z49" s="1" t="s">
        <v>1086</v>
      </c>
      <c r="AA49" s="1" t="str">
        <f t="shared" si="1"/>
        <v>○</v>
      </c>
      <c r="AC49" s="1" t="str">
        <f t="shared" si="2"/>
        <v>pres_administration_name_l AS pres_administration_name_l,</v>
      </c>
    </row>
    <row r="50" spans="1:29" ht="49.5">
      <c r="A50" s="43">
        <v>39</v>
      </c>
      <c r="B50" s="43"/>
      <c r="C50" s="43"/>
      <c r="D50" s="43" t="s">
        <v>838</v>
      </c>
      <c r="E50" s="44" t="s">
        <v>839</v>
      </c>
      <c r="F50" s="44" t="s">
        <v>840</v>
      </c>
      <c r="G50" s="43" t="s">
        <v>408</v>
      </c>
      <c r="H50" s="43"/>
      <c r="I50" s="45"/>
      <c r="J50" s="43" t="s">
        <v>178</v>
      </c>
      <c r="K50" s="43" t="s">
        <v>178</v>
      </c>
      <c r="L50" s="43" t="s">
        <v>277</v>
      </c>
      <c r="M50" s="44"/>
      <c r="N50" s="44"/>
      <c r="O50" s="44"/>
      <c r="P50" s="44"/>
      <c r="Q50" s="43" t="s">
        <v>1059</v>
      </c>
      <c r="R50" s="43"/>
      <c r="U50" s="1" t="str">
        <f t="shared" si="0"/>
        <v>PRES_SUPPLEMENT_CD_S VARCHAR(32)   ,</v>
      </c>
      <c r="AA50" s="1" t="str">
        <f t="shared" si="1"/>
        <v>×</v>
      </c>
      <c r="AC50" s="1" t="str">
        <f t="shared" si="2"/>
        <v>pres_supplement_cd_s AS pres_supplement_cd_s,</v>
      </c>
    </row>
    <row r="51" spans="1:29" ht="49.5">
      <c r="A51" s="43">
        <v>40</v>
      </c>
      <c r="B51" s="43"/>
      <c r="C51" s="43"/>
      <c r="D51" s="43" t="s">
        <v>841</v>
      </c>
      <c r="E51" s="44" t="s">
        <v>842</v>
      </c>
      <c r="F51" s="44" t="s">
        <v>843</v>
      </c>
      <c r="G51" s="43" t="s">
        <v>289</v>
      </c>
      <c r="H51" s="43"/>
      <c r="I51" s="45"/>
      <c r="J51" s="43" t="s">
        <v>178</v>
      </c>
      <c r="K51" s="43" t="s">
        <v>178</v>
      </c>
      <c r="L51" s="43" t="s">
        <v>277</v>
      </c>
      <c r="M51" s="44"/>
      <c r="N51" s="44"/>
      <c r="O51" s="44"/>
      <c r="P51" s="44"/>
      <c r="Q51" s="43" t="s">
        <v>1059</v>
      </c>
      <c r="R51" s="43"/>
      <c r="U51" s="1" t="str">
        <f t="shared" si="0"/>
        <v>PRES_SUPPLEMENT_NAME_S TEXT   ,</v>
      </c>
      <c r="AA51" s="1" t="str">
        <f t="shared" si="1"/>
        <v>×</v>
      </c>
      <c r="AC51" s="1" t="str">
        <f t="shared" si="2"/>
        <v>pres_supplement_name_s AS pres_supplement_name_s,</v>
      </c>
    </row>
    <row r="52" spans="1:29" ht="49.5">
      <c r="A52" s="2">
        <v>41</v>
      </c>
      <c r="B52" s="2"/>
      <c r="C52" s="2"/>
      <c r="D52" s="2" t="s">
        <v>844</v>
      </c>
      <c r="E52" s="3" t="s">
        <v>845</v>
      </c>
      <c r="F52" s="3" t="s">
        <v>846</v>
      </c>
      <c r="G52" s="2" t="s">
        <v>289</v>
      </c>
      <c r="H52" s="2"/>
      <c r="I52" s="28"/>
      <c r="J52" s="2" t="s">
        <v>830</v>
      </c>
      <c r="K52" s="3" t="s">
        <v>831</v>
      </c>
      <c r="L52" s="2" t="s">
        <v>277</v>
      </c>
      <c r="M52" s="3"/>
      <c r="N52" s="3"/>
      <c r="O52" s="3"/>
      <c r="P52" s="3"/>
      <c r="Q52" s="2"/>
      <c r="R52" s="2"/>
      <c r="U52" s="1" t="str">
        <f t="shared" si="0"/>
        <v>PRES_SUPPLEMENT_CD_L TEXT   ,</v>
      </c>
      <c r="Z52" s="1" t="s">
        <v>1087</v>
      </c>
      <c r="AA52" s="1" t="str">
        <f t="shared" si="1"/>
        <v>○</v>
      </c>
      <c r="AC52" s="1" t="str">
        <f t="shared" si="2"/>
        <v>pres_supplement_cd_l AS pres_supplement_cd_l,</v>
      </c>
    </row>
    <row r="53" spans="1:29" ht="49.5">
      <c r="A53" s="43">
        <v>42</v>
      </c>
      <c r="B53" s="43"/>
      <c r="C53" s="43"/>
      <c r="D53" s="43" t="s">
        <v>847</v>
      </c>
      <c r="E53" s="44" t="s">
        <v>848</v>
      </c>
      <c r="F53" s="44" t="s">
        <v>849</v>
      </c>
      <c r="G53" s="43" t="s">
        <v>289</v>
      </c>
      <c r="H53" s="43"/>
      <c r="I53" s="45"/>
      <c r="J53" s="43" t="s">
        <v>830</v>
      </c>
      <c r="K53" s="44" t="s">
        <v>836</v>
      </c>
      <c r="L53" s="43" t="s">
        <v>277</v>
      </c>
      <c r="M53" s="44"/>
      <c r="N53" s="44"/>
      <c r="O53" s="44"/>
      <c r="P53" s="44"/>
      <c r="Q53" s="43" t="s">
        <v>1059</v>
      </c>
      <c r="R53" s="43"/>
      <c r="U53" s="1" t="str">
        <f t="shared" si="0"/>
        <v>PRES_SUPPLEMENT_NAME_L TEXT   ,</v>
      </c>
      <c r="Z53" s="1" t="s">
        <v>1088</v>
      </c>
      <c r="AA53" s="1" t="str">
        <f t="shared" si="1"/>
        <v>○</v>
      </c>
      <c r="AC53" s="1" t="str">
        <f t="shared" si="2"/>
        <v>pres_supplement_name_l AS pres_supplement_name_l,</v>
      </c>
    </row>
    <row r="54" spans="1:29">
      <c r="A54" s="43">
        <v>43</v>
      </c>
      <c r="B54" s="43"/>
      <c r="C54" s="43"/>
      <c r="D54" s="43" t="s">
        <v>850</v>
      </c>
      <c r="E54" s="44" t="s">
        <v>851</v>
      </c>
      <c r="F54" s="44" t="s">
        <v>852</v>
      </c>
      <c r="G54" s="43" t="s">
        <v>289</v>
      </c>
      <c r="H54" s="43"/>
      <c r="I54" s="45"/>
      <c r="J54" s="43" t="s">
        <v>853</v>
      </c>
      <c r="K54" s="43" t="s">
        <v>854</v>
      </c>
      <c r="L54" s="43" t="s">
        <v>277</v>
      </c>
      <c r="M54" s="44"/>
      <c r="N54" s="44"/>
      <c r="O54" s="44"/>
      <c r="P54" s="44"/>
      <c r="Q54" s="43" t="s">
        <v>1059</v>
      </c>
      <c r="R54" s="43"/>
      <c r="U54" s="1" t="str">
        <f t="shared" si="0"/>
        <v>PRES_RP_COMMENT TEXT   ,</v>
      </c>
      <c r="Z54" s="1" t="s">
        <v>1089</v>
      </c>
      <c r="AA54" s="1" t="str">
        <f t="shared" si="1"/>
        <v>○</v>
      </c>
      <c r="AC54" s="1" t="str">
        <f t="shared" si="2"/>
        <v>pres_rp_comment AS pres_rp_comment,</v>
      </c>
    </row>
    <row r="55" spans="1:29" ht="33">
      <c r="A55" s="2">
        <v>44</v>
      </c>
      <c r="B55" s="2"/>
      <c r="C55" s="2"/>
      <c r="D55" s="2" t="s">
        <v>855</v>
      </c>
      <c r="E55" s="3" t="s">
        <v>856</v>
      </c>
      <c r="F55" s="3" t="s">
        <v>857</v>
      </c>
      <c r="G55" s="2" t="s">
        <v>289</v>
      </c>
      <c r="H55" s="2"/>
      <c r="I55" s="28"/>
      <c r="J55" s="2" t="s">
        <v>858</v>
      </c>
      <c r="K55" s="3" t="s">
        <v>859</v>
      </c>
      <c r="L55" s="2" t="s">
        <v>277</v>
      </c>
      <c r="M55" s="3"/>
      <c r="N55" s="3"/>
      <c r="O55" s="3"/>
      <c r="P55" s="3"/>
      <c r="Q55" s="2"/>
      <c r="R55" s="2"/>
      <c r="U55" s="1" t="str">
        <f t="shared" si="0"/>
        <v>PRES_INSTRUCTIONS_CD TEXT   ,</v>
      </c>
      <c r="Z55" s="1" t="s">
        <v>1090</v>
      </c>
      <c r="AA55" s="1" t="str">
        <f t="shared" si="1"/>
        <v>○</v>
      </c>
      <c r="AC55" s="1" t="str">
        <f t="shared" si="2"/>
        <v>pres_instructions_cd AS pres_instructions_cd,</v>
      </c>
    </row>
    <row r="56" spans="1:29" ht="33">
      <c r="A56" s="43">
        <v>45</v>
      </c>
      <c r="B56" s="43"/>
      <c r="C56" s="43"/>
      <c r="D56" s="43" t="s">
        <v>860</v>
      </c>
      <c r="E56" s="44" t="s">
        <v>861</v>
      </c>
      <c r="F56" s="44" t="s">
        <v>862</v>
      </c>
      <c r="G56" s="43" t="s">
        <v>289</v>
      </c>
      <c r="H56" s="43"/>
      <c r="I56" s="45"/>
      <c r="J56" s="43" t="s">
        <v>858</v>
      </c>
      <c r="K56" s="44" t="s">
        <v>863</v>
      </c>
      <c r="L56" s="43" t="s">
        <v>277</v>
      </c>
      <c r="M56" s="44"/>
      <c r="N56" s="44"/>
      <c r="O56" s="44"/>
      <c r="P56" s="44"/>
      <c r="Q56" s="43" t="s">
        <v>1059</v>
      </c>
      <c r="R56" s="43"/>
      <c r="U56" s="1" t="str">
        <f t="shared" si="0"/>
        <v>PRES_INSTRUCTIONS_NAME TEXT   ,</v>
      </c>
      <c r="Z56" s="1" t="s">
        <v>1091</v>
      </c>
      <c r="AA56" s="1" t="str">
        <f t="shared" si="1"/>
        <v>○</v>
      </c>
      <c r="AC56" s="1" t="str">
        <f t="shared" si="2"/>
        <v>pres_instructions_name AS pres_instructions_name,</v>
      </c>
    </row>
    <row r="57" spans="1:29" ht="49.5">
      <c r="A57" s="2">
        <v>46</v>
      </c>
      <c r="B57" s="2"/>
      <c r="C57" s="2"/>
      <c r="D57" s="2" t="s">
        <v>864</v>
      </c>
      <c r="E57" s="3" t="s">
        <v>865</v>
      </c>
      <c r="F57" s="3" t="s">
        <v>866</v>
      </c>
      <c r="G57" s="2" t="s">
        <v>355</v>
      </c>
      <c r="H57" s="2"/>
      <c r="I57" s="28" t="s">
        <v>356</v>
      </c>
      <c r="J57" s="2" t="s">
        <v>178</v>
      </c>
      <c r="K57" s="2" t="s">
        <v>178</v>
      </c>
      <c r="L57" s="2" t="s">
        <v>277</v>
      </c>
      <c r="M57" s="29"/>
      <c r="N57" s="3" t="s">
        <v>867</v>
      </c>
      <c r="O57" s="3"/>
      <c r="P57" s="3"/>
      <c r="Q57" s="2"/>
      <c r="R57" s="2"/>
      <c r="U57" s="1" t="str">
        <f t="shared" si="0"/>
        <v>PRES_START_AGE INT   ,</v>
      </c>
      <c r="Z57" s="1" t="s">
        <v>864</v>
      </c>
      <c r="AA57" s="1" t="str">
        <f t="shared" si="1"/>
        <v>○</v>
      </c>
      <c r="AC57" s="1" t="str">
        <f t="shared" si="2"/>
        <v>pres_start_age AS pres_start_age,</v>
      </c>
    </row>
    <row r="58" spans="1:29" ht="66">
      <c r="A58" s="2">
        <v>47</v>
      </c>
      <c r="B58" s="2"/>
      <c r="C58" s="2"/>
      <c r="D58" s="2" t="s">
        <v>868</v>
      </c>
      <c r="E58" s="3" t="s">
        <v>869</v>
      </c>
      <c r="F58" s="3" t="s">
        <v>870</v>
      </c>
      <c r="G58" s="2" t="s">
        <v>355</v>
      </c>
      <c r="H58" s="2"/>
      <c r="I58" s="28" t="s">
        <v>356</v>
      </c>
      <c r="J58" s="2" t="s">
        <v>178</v>
      </c>
      <c r="K58" s="2" t="s">
        <v>178</v>
      </c>
      <c r="L58" s="2" t="s">
        <v>277</v>
      </c>
      <c r="M58" s="29"/>
      <c r="N58" s="3" t="s">
        <v>871</v>
      </c>
      <c r="O58" s="3"/>
      <c r="P58" s="3"/>
      <c r="Q58" s="2"/>
      <c r="R58" s="2"/>
      <c r="U58" s="1" t="str">
        <f t="shared" si="0"/>
        <v>PRES_START_MONTHS INT   ,</v>
      </c>
      <c r="Z58" s="1" t="s">
        <v>868</v>
      </c>
      <c r="AA58" s="1" t="str">
        <f t="shared" si="1"/>
        <v>○</v>
      </c>
      <c r="AC58" s="1" t="str">
        <f t="shared" si="2"/>
        <v>pres_start_months AS pres_start_months,</v>
      </c>
    </row>
    <row r="59" spans="1:29" ht="66">
      <c r="A59" s="2">
        <v>48</v>
      </c>
      <c r="B59" s="2"/>
      <c r="C59" s="2"/>
      <c r="D59" s="2" t="s">
        <v>872</v>
      </c>
      <c r="E59" s="3" t="s">
        <v>873</v>
      </c>
      <c r="F59" s="3" t="s">
        <v>874</v>
      </c>
      <c r="G59" s="2" t="s">
        <v>355</v>
      </c>
      <c r="H59" s="2"/>
      <c r="I59" s="28" t="s">
        <v>356</v>
      </c>
      <c r="J59" s="2" t="s">
        <v>178</v>
      </c>
      <c r="K59" s="2" t="s">
        <v>178</v>
      </c>
      <c r="L59" s="2" t="s">
        <v>277</v>
      </c>
      <c r="M59" s="29"/>
      <c r="N59" s="3" t="s">
        <v>875</v>
      </c>
      <c r="O59" s="3"/>
      <c r="P59" s="3"/>
      <c r="Q59" s="2"/>
      <c r="R59" s="2"/>
      <c r="U59" s="1" t="str">
        <f t="shared" si="0"/>
        <v>PRES_START_DAYS INT   ,</v>
      </c>
      <c r="Z59" s="1" t="s">
        <v>872</v>
      </c>
      <c r="AA59" s="1" t="str">
        <f t="shared" si="1"/>
        <v>○</v>
      </c>
      <c r="AC59" s="1" t="str">
        <f t="shared" si="2"/>
        <v>pres_start_days AS pres_start_days,</v>
      </c>
    </row>
    <row r="60" spans="1:29">
      <c r="A60" s="2">
        <v>49</v>
      </c>
      <c r="B60" s="2"/>
      <c r="C60" s="2"/>
      <c r="D60" s="2" t="s">
        <v>184</v>
      </c>
      <c r="E60" s="3" t="s">
        <v>185</v>
      </c>
      <c r="F60" s="3" t="s">
        <v>876</v>
      </c>
      <c r="G60" s="2" t="s">
        <v>187</v>
      </c>
      <c r="H60" s="2" t="s">
        <v>169</v>
      </c>
      <c r="I60" s="28" t="s">
        <v>188</v>
      </c>
      <c r="J60" s="2" t="s">
        <v>656</v>
      </c>
      <c r="K60" s="2" t="s">
        <v>657</v>
      </c>
      <c r="L60" s="3" t="s">
        <v>173</v>
      </c>
      <c r="M60" s="3"/>
      <c r="N60" s="3" t="s">
        <v>191</v>
      </c>
      <c r="O60" s="3"/>
      <c r="P60" s="3"/>
      <c r="U60" s="1" t="str">
        <f t="shared" si="0"/>
        <v>DATA_UPDATE_DATE VARCHAR(16) NOT NULL  ,</v>
      </c>
      <c r="Z60" s="1" t="s">
        <v>184</v>
      </c>
      <c r="AA60" s="1" t="str">
        <f t="shared" si="1"/>
        <v>○</v>
      </c>
      <c r="AC60" s="1" t="str">
        <f t="shared" si="2"/>
        <v>data_update_date AS data_update_date,</v>
      </c>
    </row>
    <row r="61" spans="1:29">
      <c r="A61" s="2">
        <v>50</v>
      </c>
      <c r="B61" s="2"/>
      <c r="C61" s="2"/>
      <c r="D61" s="2" t="s">
        <v>192</v>
      </c>
      <c r="E61" s="3" t="s">
        <v>193</v>
      </c>
      <c r="F61" s="3" t="s">
        <v>877</v>
      </c>
      <c r="G61" s="2" t="s">
        <v>195</v>
      </c>
      <c r="H61" s="2" t="s">
        <v>169</v>
      </c>
      <c r="I61" s="28" t="s">
        <v>196</v>
      </c>
      <c r="J61" s="2" t="s">
        <v>178</v>
      </c>
      <c r="K61" s="2" t="s">
        <v>178</v>
      </c>
      <c r="L61" s="3" t="s">
        <v>173</v>
      </c>
      <c r="M61" s="3"/>
      <c r="N61" s="3"/>
      <c r="O61" s="3"/>
      <c r="P61" s="3"/>
      <c r="U61" s="1" t="str">
        <f t="shared" si="0"/>
        <v xml:space="preserve">TS_TABLE_UPDATE TIMESTAMP NOT NULL </v>
      </c>
      <c r="Z61" s="1" t="s">
        <v>1021</v>
      </c>
      <c r="AA61" s="1" t="str">
        <f t="shared" si="1"/>
        <v>○</v>
      </c>
      <c r="AC61" s="1" t="str">
        <f t="shared" si="2"/>
        <v>ts_table_update AS ts_table_update,</v>
      </c>
    </row>
    <row r="62" spans="1:29">
      <c r="M62" s="1"/>
      <c r="T62" s="1" t="s">
        <v>978</v>
      </c>
    </row>
    <row r="63" spans="1:29">
      <c r="M63" s="1"/>
    </row>
  </sheetData>
  <autoFilter ref="A7:AA61" xr:uid="{CC61DAE6-550D-41D2-A04B-2F9E968E34B3}"/>
  <phoneticPr fontId="4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1027-CEC5-41C9-A093-3FDD03DF91CA}">
  <sheetPr codeName="Sheet13"/>
  <dimension ref="A1:AA45"/>
  <sheetViews>
    <sheetView zoomScale="80" zoomScaleNormal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ColWidth="8.85546875" defaultRowHeight="16.5"/>
  <cols>
    <col min="1" max="1" width="6.140625" style="1" customWidth="1"/>
    <col min="2" max="3" width="9.28515625" style="1" customWidth="1"/>
    <col min="4" max="4" width="33.5703125" style="1" customWidth="1"/>
    <col min="5" max="5" width="24.140625" style="21" bestFit="1" customWidth="1"/>
    <col min="6" max="6" width="55.140625" style="1" customWidth="1"/>
    <col min="7" max="7" width="15.28515625" style="1" bestFit="1" customWidth="1"/>
    <col min="8" max="8" width="13.28515625" style="1" bestFit="1" customWidth="1"/>
    <col min="9" max="9" width="20.85546875" style="1" customWidth="1"/>
    <col min="10" max="10" width="8.85546875" style="1"/>
    <col min="11" max="11" width="10" style="1" customWidth="1"/>
    <col min="12" max="12" width="6" style="1" bestFit="1" customWidth="1"/>
    <col min="13" max="13" width="14.140625" style="21" customWidth="1"/>
    <col min="14" max="14" width="46" style="1" customWidth="1"/>
    <col min="15" max="15" width="13.85546875" style="1" customWidth="1"/>
    <col min="16" max="16" width="46.140625" style="1" customWidth="1"/>
    <col min="17" max="17" width="42.5703125" style="1" customWidth="1"/>
    <col min="18" max="18" width="24.85546875" style="1" customWidth="1"/>
    <col min="19" max="25" width="8.85546875" style="1"/>
    <col min="26" max="26" width="40.85546875" style="1" bestFit="1" customWidth="1"/>
    <col min="27" max="16384" width="8.85546875" style="1"/>
  </cols>
  <sheetData>
    <row r="1" spans="1:27">
      <c r="A1" s="15" t="s">
        <v>151</v>
      </c>
      <c r="B1" s="16"/>
      <c r="C1" s="13">
        <v>8</v>
      </c>
      <c r="D1" s="9"/>
      <c r="E1" s="22" t="s">
        <v>152</v>
      </c>
      <c r="F1" s="17" t="s">
        <v>878</v>
      </c>
      <c r="G1" s="14"/>
      <c r="H1" s="14"/>
      <c r="I1" s="14"/>
      <c r="J1" s="14"/>
      <c r="K1" s="14"/>
      <c r="L1" s="14"/>
      <c r="M1" s="14"/>
      <c r="N1" s="14"/>
      <c r="O1" s="14"/>
      <c r="P1" s="9"/>
    </row>
    <row r="2" spans="1:27">
      <c r="A2" s="15" t="s">
        <v>154</v>
      </c>
      <c r="B2" s="16"/>
      <c r="C2" s="13"/>
      <c r="D2" s="34">
        <v>45504</v>
      </c>
      <c r="E2" s="23" t="s">
        <v>155</v>
      </c>
      <c r="F2" s="10" t="s">
        <v>879</v>
      </c>
      <c r="G2" s="11"/>
      <c r="H2" s="11"/>
      <c r="I2" s="11"/>
      <c r="J2" s="11"/>
      <c r="K2" s="11"/>
      <c r="M2" s="11"/>
      <c r="N2" s="11"/>
      <c r="O2" s="11"/>
      <c r="P2" s="4"/>
    </row>
    <row r="3" spans="1:27">
      <c r="A3" s="15" t="s">
        <v>157</v>
      </c>
      <c r="B3" s="16"/>
      <c r="C3" s="13"/>
      <c r="D3" s="34">
        <v>45519</v>
      </c>
      <c r="E3" s="24"/>
      <c r="F3" s="5" t="s">
        <v>880</v>
      </c>
      <c r="M3" s="1"/>
      <c r="P3" s="6"/>
    </row>
    <row r="4" spans="1:27">
      <c r="A4" s="15" t="s">
        <v>159</v>
      </c>
      <c r="B4" s="16"/>
      <c r="C4" s="13"/>
      <c r="D4" s="9"/>
      <c r="E4" s="24"/>
      <c r="F4" s="5" t="s">
        <v>662</v>
      </c>
      <c r="M4" s="1"/>
      <c r="P4" s="6"/>
    </row>
    <row r="5" spans="1:27">
      <c r="A5" s="15" t="s">
        <v>161</v>
      </c>
      <c r="B5" s="16"/>
      <c r="C5" s="13"/>
      <c r="D5" s="9"/>
      <c r="E5" s="25"/>
      <c r="F5" s="7" t="s">
        <v>881</v>
      </c>
      <c r="G5" s="12"/>
      <c r="H5" s="12"/>
      <c r="I5" s="12"/>
      <c r="J5" s="12"/>
      <c r="K5" s="12"/>
      <c r="L5" s="12"/>
      <c r="M5" s="12"/>
      <c r="N5" s="12"/>
      <c r="O5" s="12"/>
      <c r="P5" s="8"/>
    </row>
    <row r="6" spans="1:27">
      <c r="E6" s="1"/>
      <c r="M6" s="1"/>
      <c r="O6" s="12"/>
      <c r="P6" s="8"/>
    </row>
    <row r="7" spans="1:27">
      <c r="A7" s="15" t="s">
        <v>13</v>
      </c>
      <c r="B7" s="15" t="s">
        <v>37</v>
      </c>
      <c r="C7" s="15" t="s">
        <v>40</v>
      </c>
      <c r="D7" s="15" t="s">
        <v>43</v>
      </c>
      <c r="E7" s="20" t="s">
        <v>46</v>
      </c>
      <c r="F7" s="15" t="s">
        <v>48</v>
      </c>
      <c r="G7" s="15" t="s">
        <v>50</v>
      </c>
      <c r="H7" s="15" t="s">
        <v>52</v>
      </c>
      <c r="I7" s="15" t="s">
        <v>54</v>
      </c>
      <c r="J7" s="15" t="s">
        <v>57</v>
      </c>
      <c r="K7" s="20" t="s">
        <v>59</v>
      </c>
      <c r="L7" s="20" t="s">
        <v>61</v>
      </c>
      <c r="M7" s="20" t="s">
        <v>163</v>
      </c>
      <c r="N7" s="15" t="s">
        <v>65</v>
      </c>
      <c r="O7" s="30" t="s">
        <v>664</v>
      </c>
      <c r="P7" s="30" t="s">
        <v>69</v>
      </c>
      <c r="Q7" s="42" t="s">
        <v>979</v>
      </c>
      <c r="R7" s="42" t="s">
        <v>980</v>
      </c>
      <c r="T7" s="1" t="s">
        <v>1092</v>
      </c>
      <c r="Z7" s="1" t="s">
        <v>1022</v>
      </c>
    </row>
    <row r="8" spans="1:27">
      <c r="A8" s="2">
        <v>1</v>
      </c>
      <c r="B8" s="2" t="s">
        <v>203</v>
      </c>
      <c r="C8" s="2"/>
      <c r="D8" s="2" t="s">
        <v>882</v>
      </c>
      <c r="E8" s="3" t="s">
        <v>256</v>
      </c>
      <c r="F8" s="2" t="s">
        <v>883</v>
      </c>
      <c r="G8" s="2" t="s">
        <v>207</v>
      </c>
      <c r="H8" s="2" t="s">
        <v>169</v>
      </c>
      <c r="I8" s="28" t="s">
        <v>170</v>
      </c>
      <c r="J8" s="2" t="s">
        <v>178</v>
      </c>
      <c r="K8" s="2" t="s">
        <v>178</v>
      </c>
      <c r="L8" s="3" t="s">
        <v>173</v>
      </c>
      <c r="M8" s="3"/>
      <c r="N8" s="3"/>
      <c r="O8" s="3"/>
      <c r="P8" s="3"/>
      <c r="Q8" s="2"/>
      <c r="R8" s="2"/>
      <c r="U8" s="1" t="str">
        <f>D8&amp;" "&amp;G8&amp; " " &amp; H8&amp;" "  &amp; IF(G9="",""," ,")</f>
        <v>INJ_UNIQUE_ID SERIAL NOT NULL  ,</v>
      </c>
      <c r="Z8" s="1" t="s">
        <v>882</v>
      </c>
      <c r="AA8" s="1" t="str">
        <f>IF(Z8=D8,"○","×")</f>
        <v>○</v>
      </c>
    </row>
    <row r="9" spans="1:27" ht="33">
      <c r="A9" s="43">
        <v>2</v>
      </c>
      <c r="B9" s="43"/>
      <c r="C9" s="43" t="s">
        <v>180</v>
      </c>
      <c r="D9" s="43" t="s">
        <v>181</v>
      </c>
      <c r="E9" s="44" t="s">
        <v>182</v>
      </c>
      <c r="F9" s="44" t="s">
        <v>884</v>
      </c>
      <c r="G9" s="43" t="s">
        <v>168</v>
      </c>
      <c r="H9" s="43" t="s">
        <v>169</v>
      </c>
      <c r="I9" s="45"/>
      <c r="J9" s="43" t="s">
        <v>171</v>
      </c>
      <c r="K9" s="43" t="s">
        <v>172</v>
      </c>
      <c r="L9" s="44" t="s">
        <v>173</v>
      </c>
      <c r="M9" s="44" t="s">
        <v>179</v>
      </c>
      <c r="N9" s="44"/>
      <c r="O9" s="44"/>
      <c r="P9" s="44"/>
      <c r="Q9" s="43" t="s">
        <v>1051</v>
      </c>
      <c r="R9" s="43"/>
      <c r="U9" s="1" t="str">
        <f t="shared" ref="U9:U10" si="0">D9&amp;" "&amp;G9&amp; " " &amp; H9&amp;" "  &amp; IF(G10="",""," ,")</f>
        <v>PATIENT_ID VARCHAR(64) NOT NULL  ,</v>
      </c>
      <c r="Z9" s="1" t="s">
        <v>997</v>
      </c>
      <c r="AA9" s="1" t="str">
        <f t="shared" ref="AA9:AA43" si="1">IF(Z9=D9,"○","×")</f>
        <v>×</v>
      </c>
    </row>
    <row r="10" spans="1:27" ht="33">
      <c r="A10" s="43">
        <v>3</v>
      </c>
      <c r="B10" s="43"/>
      <c r="C10" s="43"/>
      <c r="D10" s="44" t="s">
        <v>294</v>
      </c>
      <c r="E10" s="44" t="s">
        <v>295</v>
      </c>
      <c r="F10" s="44" t="s">
        <v>885</v>
      </c>
      <c r="G10" s="43" t="s">
        <v>217</v>
      </c>
      <c r="H10" s="43"/>
      <c r="I10" s="43" t="s">
        <v>178</v>
      </c>
      <c r="J10" s="43" t="s">
        <v>178</v>
      </c>
      <c r="K10" s="43" t="s">
        <v>178</v>
      </c>
      <c r="L10" s="44" t="s">
        <v>277</v>
      </c>
      <c r="M10" s="44"/>
      <c r="N10" s="44" t="s">
        <v>297</v>
      </c>
      <c r="O10" s="44"/>
      <c r="P10" s="44"/>
      <c r="Q10" s="43" t="s">
        <v>1123</v>
      </c>
      <c r="R10" s="43"/>
      <c r="U10" s="1" t="str">
        <f t="shared" si="0"/>
        <v>DEPT_CD_S VARCHAR(8)   ,</v>
      </c>
      <c r="AA10" s="1" t="str">
        <f t="shared" si="1"/>
        <v>×</v>
      </c>
    </row>
    <row r="11" spans="1:27" ht="49.5">
      <c r="A11" s="2">
        <v>4</v>
      </c>
      <c r="B11" s="2"/>
      <c r="C11" s="2"/>
      <c r="D11" s="3" t="s">
        <v>298</v>
      </c>
      <c r="E11" s="3" t="s">
        <v>299</v>
      </c>
      <c r="F11" s="3" t="s">
        <v>886</v>
      </c>
      <c r="G11" s="2" t="s">
        <v>289</v>
      </c>
      <c r="H11" s="2"/>
      <c r="I11" s="28"/>
      <c r="J11" s="2" t="s">
        <v>376</v>
      </c>
      <c r="K11" s="3" t="s">
        <v>377</v>
      </c>
      <c r="L11" s="3" t="s">
        <v>277</v>
      </c>
      <c r="M11" s="3"/>
      <c r="N11" s="3"/>
      <c r="O11" s="3"/>
      <c r="P11" s="3"/>
      <c r="Q11" s="2"/>
      <c r="R11" s="2"/>
      <c r="U11" s="1" t="str">
        <f t="shared" ref="U11:U43" si="2">D11&amp;" "&amp;G11&amp; " " &amp; H11&amp;" "  &amp; IF(G12="",""," ,")</f>
        <v>DEPT_CD_L TEXT   ,</v>
      </c>
      <c r="Z11" s="1" t="s">
        <v>998</v>
      </c>
      <c r="AA11" s="1" t="str">
        <f t="shared" si="1"/>
        <v>○</v>
      </c>
    </row>
    <row r="12" spans="1:27" ht="49.5">
      <c r="A12" s="2">
        <v>5</v>
      </c>
      <c r="B12" s="2"/>
      <c r="C12" s="2"/>
      <c r="D12" s="3" t="s">
        <v>379</v>
      </c>
      <c r="E12" s="3" t="s">
        <v>380</v>
      </c>
      <c r="F12" s="3" t="s">
        <v>887</v>
      </c>
      <c r="G12" s="2" t="s">
        <v>289</v>
      </c>
      <c r="H12" s="2"/>
      <c r="I12" s="28"/>
      <c r="J12" s="2" t="s">
        <v>376</v>
      </c>
      <c r="K12" s="3" t="s">
        <v>382</v>
      </c>
      <c r="L12" s="3" t="s">
        <v>277</v>
      </c>
      <c r="M12" s="3"/>
      <c r="N12" s="3"/>
      <c r="O12" s="3"/>
      <c r="P12" s="3"/>
      <c r="Q12" s="2"/>
      <c r="R12" s="2"/>
      <c r="U12" s="1" t="str">
        <f t="shared" si="2"/>
        <v>DEPT_NAME_L TEXT   ,</v>
      </c>
      <c r="Z12" s="1" t="s">
        <v>999</v>
      </c>
      <c r="AA12" s="1" t="str">
        <f t="shared" si="1"/>
        <v>○</v>
      </c>
    </row>
    <row r="13" spans="1:27">
      <c r="A13" s="2">
        <v>6</v>
      </c>
      <c r="B13" s="2" t="s">
        <v>211</v>
      </c>
      <c r="C13" s="2" t="s">
        <v>180</v>
      </c>
      <c r="D13" s="2" t="s">
        <v>521</v>
      </c>
      <c r="E13" s="3" t="s">
        <v>522</v>
      </c>
      <c r="F13" s="3" t="s">
        <v>888</v>
      </c>
      <c r="G13" s="2" t="s">
        <v>168</v>
      </c>
      <c r="H13" s="2" t="s">
        <v>169</v>
      </c>
      <c r="I13" s="28"/>
      <c r="J13" s="2" t="s">
        <v>524</v>
      </c>
      <c r="K13" s="2" t="s">
        <v>525</v>
      </c>
      <c r="L13" s="3" t="s">
        <v>173</v>
      </c>
      <c r="M13" s="3"/>
      <c r="N13" s="3"/>
      <c r="O13" s="3"/>
      <c r="P13" s="3"/>
      <c r="Q13" s="2"/>
      <c r="R13" s="2"/>
      <c r="U13" s="1" t="str">
        <f t="shared" si="2"/>
        <v>PLACER_ORDER_NO VARCHAR(64) NOT NULL  ,</v>
      </c>
      <c r="Z13" s="1" t="s">
        <v>1030</v>
      </c>
      <c r="AA13" s="1" t="str">
        <f t="shared" si="1"/>
        <v>○</v>
      </c>
    </row>
    <row r="14" spans="1:27" ht="18.75">
      <c r="A14" s="2">
        <v>7</v>
      </c>
      <c r="B14" s="2" t="s">
        <v>211</v>
      </c>
      <c r="C14" s="2" t="s">
        <v>180</v>
      </c>
      <c r="D14" s="3" t="s">
        <v>672</v>
      </c>
      <c r="E14" s="3" t="s">
        <v>673</v>
      </c>
      <c r="F14" s="3" t="s">
        <v>889</v>
      </c>
      <c r="G14" s="2" t="s">
        <v>168</v>
      </c>
      <c r="H14" s="2" t="s">
        <v>169</v>
      </c>
      <c r="I14" s="28"/>
      <c r="J14" s="2" t="s">
        <v>675</v>
      </c>
      <c r="K14" s="2" t="s">
        <v>676</v>
      </c>
      <c r="L14" s="3" t="s">
        <v>173</v>
      </c>
      <c r="M14" s="3"/>
      <c r="N14" s="3"/>
      <c r="O14" s="3"/>
      <c r="P14" s="3"/>
      <c r="Q14" s="2"/>
      <c r="R14" s="2"/>
      <c r="U14" s="1" t="str">
        <f t="shared" si="2"/>
        <v>RP_NO VARCHAR(64) NOT NULL  ,</v>
      </c>
      <c r="Z14" s="1" t="s">
        <v>672</v>
      </c>
      <c r="AA14" s="1" t="str">
        <f t="shared" si="1"/>
        <v>○</v>
      </c>
    </row>
    <row r="15" spans="1:27" ht="33">
      <c r="A15" s="43">
        <v>8</v>
      </c>
      <c r="B15" s="43"/>
      <c r="C15" s="43"/>
      <c r="D15" s="44" t="s">
        <v>890</v>
      </c>
      <c r="E15" s="44" t="s">
        <v>678</v>
      </c>
      <c r="F15" s="44" t="s">
        <v>891</v>
      </c>
      <c r="G15" s="43" t="s">
        <v>289</v>
      </c>
      <c r="H15" s="43"/>
      <c r="I15" s="43"/>
      <c r="J15" s="43" t="s">
        <v>680</v>
      </c>
      <c r="K15" s="44" t="s">
        <v>681</v>
      </c>
      <c r="L15" s="44" t="s">
        <v>277</v>
      </c>
      <c r="M15" s="44" t="s">
        <v>682</v>
      </c>
      <c r="N15" s="44"/>
      <c r="O15" s="44"/>
      <c r="P15" s="44"/>
      <c r="Q15" s="44" t="s">
        <v>1148</v>
      </c>
      <c r="R15" s="43" t="s">
        <v>1140</v>
      </c>
      <c r="U15" s="1" t="str">
        <f t="shared" si="2"/>
        <v>INJ_ROUTE TEXT   ,</v>
      </c>
      <c r="Z15" s="1" t="s">
        <v>890</v>
      </c>
      <c r="AA15" s="1" t="str">
        <f t="shared" si="1"/>
        <v>○</v>
      </c>
    </row>
    <row r="16" spans="1:27" ht="49.5">
      <c r="A16" s="2">
        <v>9</v>
      </c>
      <c r="B16" s="2"/>
      <c r="C16" s="2"/>
      <c r="D16" s="3" t="s">
        <v>892</v>
      </c>
      <c r="E16" s="3" t="s">
        <v>893</v>
      </c>
      <c r="F16" s="3" t="s">
        <v>894</v>
      </c>
      <c r="G16" s="2" t="s">
        <v>289</v>
      </c>
      <c r="H16" s="2"/>
      <c r="I16" s="2"/>
      <c r="J16" s="2" t="s">
        <v>895</v>
      </c>
      <c r="K16" s="3" t="s">
        <v>896</v>
      </c>
      <c r="L16" s="3" t="s">
        <v>277</v>
      </c>
      <c r="M16" s="3"/>
      <c r="N16" s="3"/>
      <c r="O16" s="3"/>
      <c r="P16" s="3"/>
      <c r="Q16" s="2"/>
      <c r="R16" s="2"/>
      <c r="U16" s="1" t="str">
        <f t="shared" si="2"/>
        <v>INJ_ADMINISTRATIVE_METHOD TEXT   ,</v>
      </c>
      <c r="Z16" s="1" t="s">
        <v>1109</v>
      </c>
      <c r="AA16" s="1" t="str">
        <f t="shared" si="1"/>
        <v>○</v>
      </c>
    </row>
    <row r="17" spans="1:27">
      <c r="A17" s="2">
        <v>10</v>
      </c>
      <c r="B17" s="2"/>
      <c r="C17" s="2" t="s">
        <v>180</v>
      </c>
      <c r="D17" s="2" t="s">
        <v>897</v>
      </c>
      <c r="E17" s="3" t="s">
        <v>703</v>
      </c>
      <c r="F17" s="3" t="s">
        <v>898</v>
      </c>
      <c r="G17" s="2" t="s">
        <v>217</v>
      </c>
      <c r="H17" s="2"/>
      <c r="I17" s="28"/>
      <c r="J17" s="2" t="s">
        <v>899</v>
      </c>
      <c r="K17" s="2" t="s">
        <v>900</v>
      </c>
      <c r="L17" s="3" t="s">
        <v>173</v>
      </c>
      <c r="M17" s="3"/>
      <c r="N17" s="3" t="s">
        <v>230</v>
      </c>
      <c r="O17" s="3"/>
      <c r="P17" s="3"/>
      <c r="Q17" s="2"/>
      <c r="R17" s="2"/>
      <c r="U17" s="1" t="str">
        <f t="shared" si="2"/>
        <v>INJ_START_DATE VARCHAR(8)   ,</v>
      </c>
      <c r="Z17" s="1" t="s">
        <v>897</v>
      </c>
      <c r="AA17" s="1" t="str">
        <f t="shared" si="1"/>
        <v>○</v>
      </c>
    </row>
    <row r="18" spans="1:27">
      <c r="A18" s="43">
        <v>11</v>
      </c>
      <c r="B18" s="43"/>
      <c r="C18" s="43" t="s">
        <v>180</v>
      </c>
      <c r="D18" s="43" t="s">
        <v>901</v>
      </c>
      <c r="E18" s="44" t="s">
        <v>902</v>
      </c>
      <c r="F18" s="44" t="s">
        <v>903</v>
      </c>
      <c r="G18" s="43" t="s">
        <v>217</v>
      </c>
      <c r="H18" s="43"/>
      <c r="I18" s="45"/>
      <c r="J18" s="43" t="s">
        <v>899</v>
      </c>
      <c r="K18" s="43" t="s">
        <v>900</v>
      </c>
      <c r="L18" s="44" t="s">
        <v>173</v>
      </c>
      <c r="M18" s="44"/>
      <c r="N18" s="44" t="s">
        <v>314</v>
      </c>
      <c r="O18" s="44"/>
      <c r="P18" s="44"/>
      <c r="Q18" s="43" t="s">
        <v>1161</v>
      </c>
      <c r="R18" s="43"/>
      <c r="U18" s="1" t="str">
        <f t="shared" si="2"/>
        <v>INJ_START_TIME VARCHAR(8)   ,</v>
      </c>
      <c r="Z18" s="1" t="s">
        <v>1110</v>
      </c>
      <c r="AA18" s="1" t="str">
        <f t="shared" si="1"/>
        <v>○</v>
      </c>
    </row>
    <row r="19" spans="1:27">
      <c r="A19" s="2">
        <v>12</v>
      </c>
      <c r="B19" s="2"/>
      <c r="C19" s="2" t="s">
        <v>180</v>
      </c>
      <c r="D19" s="2" t="s">
        <v>904</v>
      </c>
      <c r="E19" s="3" t="s">
        <v>708</v>
      </c>
      <c r="F19" s="3" t="s">
        <v>905</v>
      </c>
      <c r="G19" s="2" t="s">
        <v>217</v>
      </c>
      <c r="H19" s="2"/>
      <c r="I19" s="28"/>
      <c r="J19" s="2" t="s">
        <v>906</v>
      </c>
      <c r="K19" s="2" t="s">
        <v>907</v>
      </c>
      <c r="L19" s="3" t="s">
        <v>173</v>
      </c>
      <c r="M19" s="3"/>
      <c r="N19" s="3" t="s">
        <v>230</v>
      </c>
      <c r="O19" s="3"/>
      <c r="P19" s="3"/>
      <c r="Q19" s="2"/>
      <c r="R19" s="2"/>
      <c r="U19" s="1" t="str">
        <f t="shared" si="2"/>
        <v>INJ_END_DATE VARCHAR(8)   ,</v>
      </c>
      <c r="Z19" s="1" t="s">
        <v>904</v>
      </c>
      <c r="AA19" s="1" t="str">
        <f t="shared" si="1"/>
        <v>○</v>
      </c>
    </row>
    <row r="20" spans="1:27">
      <c r="A20" s="2">
        <v>13</v>
      </c>
      <c r="B20" s="2"/>
      <c r="C20" s="2" t="s">
        <v>180</v>
      </c>
      <c r="D20" s="2" t="s">
        <v>908</v>
      </c>
      <c r="E20" s="3" t="s">
        <v>909</v>
      </c>
      <c r="F20" s="3" t="s">
        <v>910</v>
      </c>
      <c r="G20" s="2" t="s">
        <v>217</v>
      </c>
      <c r="H20" s="2"/>
      <c r="I20" s="28"/>
      <c r="J20" s="2" t="s">
        <v>906</v>
      </c>
      <c r="K20" s="2" t="s">
        <v>907</v>
      </c>
      <c r="L20" s="3" t="s">
        <v>173</v>
      </c>
      <c r="M20" s="3"/>
      <c r="N20" s="3" t="s">
        <v>314</v>
      </c>
      <c r="O20" s="3"/>
      <c r="P20" s="3"/>
      <c r="Q20" s="2"/>
      <c r="R20" s="2"/>
      <c r="U20" s="1" t="str">
        <f t="shared" si="2"/>
        <v>INJ_END_TIME VARCHAR(8)   ,</v>
      </c>
      <c r="Z20" s="1" t="s">
        <v>1111</v>
      </c>
      <c r="AA20" s="1" t="str">
        <f t="shared" si="1"/>
        <v>○</v>
      </c>
    </row>
    <row r="21" spans="1:27" ht="33">
      <c r="A21" s="43">
        <v>14</v>
      </c>
      <c r="B21" s="43"/>
      <c r="C21" s="43"/>
      <c r="D21" s="43" t="s">
        <v>911</v>
      </c>
      <c r="E21" s="44" t="s">
        <v>713</v>
      </c>
      <c r="F21" s="44" t="s">
        <v>912</v>
      </c>
      <c r="G21" s="43" t="s">
        <v>103</v>
      </c>
      <c r="H21" s="43" t="s">
        <v>169</v>
      </c>
      <c r="I21" s="43" t="s">
        <v>715</v>
      </c>
      <c r="J21" s="43" t="s">
        <v>178</v>
      </c>
      <c r="K21" s="43" t="s">
        <v>178</v>
      </c>
      <c r="L21" s="43" t="s">
        <v>178</v>
      </c>
      <c r="M21" s="44" t="s">
        <v>716</v>
      </c>
      <c r="N21" s="44"/>
      <c r="O21" s="44"/>
      <c r="P21" s="44"/>
      <c r="Q21" s="43" t="s">
        <v>1053</v>
      </c>
      <c r="R21" s="43"/>
      <c r="U21" s="1" t="str">
        <f t="shared" si="2"/>
        <v>SCH_INJ_START_DATE DATE NOT NULL  ,</v>
      </c>
      <c r="Z21" s="1" t="s">
        <v>911</v>
      </c>
      <c r="AA21" s="1" t="str">
        <f t="shared" si="1"/>
        <v>○</v>
      </c>
    </row>
    <row r="22" spans="1:27" ht="33">
      <c r="A22" s="43">
        <v>15</v>
      </c>
      <c r="B22" s="43"/>
      <c r="C22" s="43"/>
      <c r="D22" s="43" t="s">
        <v>913</v>
      </c>
      <c r="E22" s="44" t="s">
        <v>718</v>
      </c>
      <c r="F22" s="44" t="s">
        <v>914</v>
      </c>
      <c r="G22" s="43" t="s">
        <v>103</v>
      </c>
      <c r="H22" s="43" t="s">
        <v>169</v>
      </c>
      <c r="I22" s="43" t="s">
        <v>234</v>
      </c>
      <c r="J22" s="43" t="s">
        <v>178</v>
      </c>
      <c r="K22" s="43" t="s">
        <v>178</v>
      </c>
      <c r="L22" s="43" t="s">
        <v>178</v>
      </c>
      <c r="M22" s="44" t="s">
        <v>720</v>
      </c>
      <c r="N22" s="44"/>
      <c r="O22" s="44"/>
      <c r="P22" s="44"/>
      <c r="Q22" s="43" t="s">
        <v>1054</v>
      </c>
      <c r="R22" s="43"/>
      <c r="U22" s="1" t="str">
        <f t="shared" si="2"/>
        <v>SCH_INJ_END_DATE DATE NOT NULL  ,</v>
      </c>
      <c r="Z22" s="1" t="s">
        <v>913</v>
      </c>
      <c r="AA22" s="1" t="str">
        <f t="shared" si="1"/>
        <v>○</v>
      </c>
    </row>
    <row r="23" spans="1:27" ht="66">
      <c r="A23" s="43">
        <v>16</v>
      </c>
      <c r="B23" s="43"/>
      <c r="C23" s="43" t="s">
        <v>180</v>
      </c>
      <c r="D23" s="43" t="s">
        <v>915</v>
      </c>
      <c r="E23" s="44" t="s">
        <v>722</v>
      </c>
      <c r="F23" s="44" t="s">
        <v>916</v>
      </c>
      <c r="G23" s="43" t="s">
        <v>187</v>
      </c>
      <c r="H23" s="43"/>
      <c r="I23" s="45" t="s">
        <v>170</v>
      </c>
      <c r="J23" s="43" t="s">
        <v>178</v>
      </c>
      <c r="K23" s="43" t="s">
        <v>178</v>
      </c>
      <c r="L23" s="43" t="s">
        <v>178</v>
      </c>
      <c r="M23" s="44" t="s">
        <v>1119</v>
      </c>
      <c r="N23" s="44" t="s">
        <v>725</v>
      </c>
      <c r="O23" s="44"/>
      <c r="P23" s="44"/>
      <c r="Q23" s="44" t="s">
        <v>1056</v>
      </c>
      <c r="R23" s="43"/>
      <c r="U23" s="1" t="str">
        <f t="shared" si="2"/>
        <v>INJ_MEDICINE_CD_YJ VARCHAR(16)   ,</v>
      </c>
      <c r="Z23" s="1" t="s">
        <v>915</v>
      </c>
      <c r="AA23" s="1" t="str">
        <f t="shared" si="1"/>
        <v>○</v>
      </c>
    </row>
    <row r="24" spans="1:27" ht="66">
      <c r="A24" s="2">
        <v>17</v>
      </c>
      <c r="B24" s="2"/>
      <c r="C24" s="2" t="s">
        <v>180</v>
      </c>
      <c r="D24" s="2" t="s">
        <v>917</v>
      </c>
      <c r="E24" s="3" t="s">
        <v>727</v>
      </c>
      <c r="F24" s="3" t="s">
        <v>918</v>
      </c>
      <c r="G24" s="2" t="s">
        <v>187</v>
      </c>
      <c r="H24" s="2"/>
      <c r="I24" s="28" t="s">
        <v>170</v>
      </c>
      <c r="J24" s="2" t="s">
        <v>178</v>
      </c>
      <c r="K24" s="2" t="s">
        <v>178</v>
      </c>
      <c r="L24" s="2" t="s">
        <v>178</v>
      </c>
      <c r="M24" s="29" t="s">
        <v>178</v>
      </c>
      <c r="N24" s="3"/>
      <c r="O24" s="3"/>
      <c r="P24" s="3"/>
      <c r="Q24" s="2"/>
      <c r="R24" s="2"/>
      <c r="U24" s="1" t="str">
        <f t="shared" si="2"/>
        <v>SCH_INJ_MEDICINE_CD_YJ4 VARCHAR(16)   ,</v>
      </c>
      <c r="Z24" s="1" t="s">
        <v>917</v>
      </c>
      <c r="AA24" s="1" t="str">
        <f t="shared" si="1"/>
        <v>○</v>
      </c>
    </row>
    <row r="25" spans="1:27" ht="66">
      <c r="A25" s="2">
        <v>18</v>
      </c>
      <c r="B25" s="2"/>
      <c r="C25" s="2" t="s">
        <v>180</v>
      </c>
      <c r="D25" s="2" t="s">
        <v>919</v>
      </c>
      <c r="E25" s="3" t="s">
        <v>730</v>
      </c>
      <c r="F25" s="3" t="s">
        <v>920</v>
      </c>
      <c r="G25" s="2" t="s">
        <v>187</v>
      </c>
      <c r="H25" s="2"/>
      <c r="I25" s="28" t="s">
        <v>170</v>
      </c>
      <c r="J25" s="2" t="s">
        <v>178</v>
      </c>
      <c r="K25" s="2" t="s">
        <v>178</v>
      </c>
      <c r="L25" s="2" t="s">
        <v>178</v>
      </c>
      <c r="M25" s="29" t="s">
        <v>178</v>
      </c>
      <c r="N25" s="3"/>
      <c r="O25" s="3"/>
      <c r="P25" s="3"/>
      <c r="Q25" s="2"/>
      <c r="R25" s="2"/>
      <c r="U25" s="1" t="str">
        <f t="shared" si="2"/>
        <v>SCH_INJ_MEDICINE_CD_YJ7 VARCHAR(16)   ,</v>
      </c>
      <c r="Z25" s="1" t="s">
        <v>919</v>
      </c>
      <c r="AA25" s="1" t="str">
        <f t="shared" si="1"/>
        <v>○</v>
      </c>
    </row>
    <row r="26" spans="1:27" ht="66">
      <c r="A26" s="43">
        <v>19</v>
      </c>
      <c r="B26" s="43"/>
      <c r="C26" s="43" t="s">
        <v>180</v>
      </c>
      <c r="D26" s="43" t="s">
        <v>921</v>
      </c>
      <c r="E26" s="44" t="s">
        <v>733</v>
      </c>
      <c r="F26" s="44" t="s">
        <v>922</v>
      </c>
      <c r="G26" s="43" t="s">
        <v>187</v>
      </c>
      <c r="H26" s="43"/>
      <c r="I26" s="45" t="s">
        <v>170</v>
      </c>
      <c r="J26" s="54" t="s">
        <v>923</v>
      </c>
      <c r="K26" s="54" t="s">
        <v>924</v>
      </c>
      <c r="L26" s="44" t="s">
        <v>277</v>
      </c>
      <c r="M26" s="44"/>
      <c r="N26" s="44" t="s">
        <v>725</v>
      </c>
      <c r="O26" s="44"/>
      <c r="P26" s="44"/>
      <c r="Q26" s="44" t="s">
        <v>1056</v>
      </c>
      <c r="R26" s="43"/>
      <c r="U26" s="1" t="str">
        <f t="shared" si="2"/>
        <v>INJ_MEDICINE_CD_HOT VARCHAR(16)   ,</v>
      </c>
      <c r="Z26" s="1" t="s">
        <v>921</v>
      </c>
      <c r="AA26" s="1" t="str">
        <f t="shared" si="1"/>
        <v>○</v>
      </c>
    </row>
    <row r="27" spans="1:27" ht="66">
      <c r="A27" s="2">
        <v>20</v>
      </c>
      <c r="B27" s="2"/>
      <c r="C27" s="2" t="s">
        <v>180</v>
      </c>
      <c r="D27" s="2" t="s">
        <v>925</v>
      </c>
      <c r="E27" s="3" t="s">
        <v>738</v>
      </c>
      <c r="F27" s="3" t="s">
        <v>926</v>
      </c>
      <c r="G27" s="2" t="s">
        <v>187</v>
      </c>
      <c r="H27" s="2"/>
      <c r="I27" s="28" t="s">
        <v>170</v>
      </c>
      <c r="J27" s="2" t="s">
        <v>178</v>
      </c>
      <c r="K27" s="2" t="s">
        <v>178</v>
      </c>
      <c r="L27" s="2" t="s">
        <v>178</v>
      </c>
      <c r="M27" s="29" t="s">
        <v>178</v>
      </c>
      <c r="N27" s="3"/>
      <c r="O27" s="3"/>
      <c r="P27" s="3"/>
      <c r="Q27" s="2"/>
      <c r="R27" s="2"/>
      <c r="U27" s="1" t="str">
        <f t="shared" si="2"/>
        <v>SCH_INJ_MEDICINE_CD_HOT7 VARCHAR(16)   ,</v>
      </c>
      <c r="Z27" s="1" t="s">
        <v>925</v>
      </c>
      <c r="AA27" s="1" t="str">
        <f t="shared" si="1"/>
        <v>○</v>
      </c>
    </row>
    <row r="28" spans="1:27" ht="66">
      <c r="A28" s="2">
        <v>21</v>
      </c>
      <c r="B28" s="2"/>
      <c r="C28" s="2" t="s">
        <v>180</v>
      </c>
      <c r="D28" s="2" t="s">
        <v>927</v>
      </c>
      <c r="E28" s="3" t="s">
        <v>741</v>
      </c>
      <c r="F28" s="3" t="s">
        <v>928</v>
      </c>
      <c r="G28" s="2" t="s">
        <v>187</v>
      </c>
      <c r="H28" s="2"/>
      <c r="I28" s="28" t="s">
        <v>170</v>
      </c>
      <c r="J28" s="2" t="s">
        <v>178</v>
      </c>
      <c r="K28" s="2" t="s">
        <v>178</v>
      </c>
      <c r="L28" s="2" t="s">
        <v>178</v>
      </c>
      <c r="M28" s="29" t="s">
        <v>178</v>
      </c>
      <c r="N28" s="3"/>
      <c r="O28" s="3"/>
      <c r="P28" s="3"/>
      <c r="Q28" s="2"/>
      <c r="R28" s="2"/>
      <c r="U28" s="1" t="str">
        <f t="shared" si="2"/>
        <v>SCH_INJ_MEDICINE_CD_HOT9 VARCHAR(16)   ,</v>
      </c>
      <c r="Z28" s="1" t="s">
        <v>927</v>
      </c>
      <c r="AA28" s="1" t="str">
        <f t="shared" si="1"/>
        <v>○</v>
      </c>
    </row>
    <row r="29" spans="1:27">
      <c r="A29" s="2">
        <v>22</v>
      </c>
      <c r="B29" s="2" t="s">
        <v>135</v>
      </c>
      <c r="C29" s="2" t="s">
        <v>180</v>
      </c>
      <c r="D29" s="2" t="s">
        <v>929</v>
      </c>
      <c r="E29" s="3" t="s">
        <v>744</v>
      </c>
      <c r="F29" s="3" t="s">
        <v>930</v>
      </c>
      <c r="G29" s="2" t="s">
        <v>289</v>
      </c>
      <c r="H29" s="2" t="s">
        <v>169</v>
      </c>
      <c r="I29" s="28"/>
      <c r="J29" s="37" t="s">
        <v>923</v>
      </c>
      <c r="K29" s="37" t="s">
        <v>931</v>
      </c>
      <c r="L29" s="3" t="s">
        <v>173</v>
      </c>
      <c r="M29" s="3"/>
      <c r="N29" s="3"/>
      <c r="O29" s="3"/>
      <c r="P29" s="3"/>
      <c r="Q29" s="2"/>
      <c r="R29" s="2"/>
      <c r="U29" s="1" t="str">
        <f t="shared" si="2"/>
        <v>INJ_MEDICINE_CD_L TEXT NOT NULL  ,</v>
      </c>
      <c r="Z29" s="1" t="s">
        <v>929</v>
      </c>
      <c r="AA29" s="1" t="str">
        <f t="shared" si="1"/>
        <v>○</v>
      </c>
    </row>
    <row r="30" spans="1:27" ht="33">
      <c r="A30" s="43">
        <v>23</v>
      </c>
      <c r="B30" s="43"/>
      <c r="C30" s="43" t="s">
        <v>180</v>
      </c>
      <c r="D30" s="43" t="s">
        <v>932</v>
      </c>
      <c r="E30" s="44" t="s">
        <v>748</v>
      </c>
      <c r="F30" s="44" t="s">
        <v>933</v>
      </c>
      <c r="G30" s="43" t="s">
        <v>289</v>
      </c>
      <c r="H30" s="43"/>
      <c r="I30" s="45"/>
      <c r="J30" s="54" t="s">
        <v>923</v>
      </c>
      <c r="K30" s="54" t="s">
        <v>934</v>
      </c>
      <c r="L30" s="44" t="s">
        <v>173</v>
      </c>
      <c r="M30" s="44" t="s">
        <v>724</v>
      </c>
      <c r="N30" s="44"/>
      <c r="O30" s="44"/>
      <c r="P30" s="44"/>
      <c r="Q30" s="44" t="s">
        <v>1056</v>
      </c>
      <c r="R30" s="43"/>
      <c r="U30" s="1" t="str">
        <f t="shared" si="2"/>
        <v>INJ_MEDICINE_NAME_L TEXT   ,</v>
      </c>
      <c r="Z30" s="1" t="s">
        <v>932</v>
      </c>
      <c r="AA30" s="1" t="str">
        <f t="shared" si="1"/>
        <v>○</v>
      </c>
    </row>
    <row r="31" spans="1:27" ht="33">
      <c r="A31" s="43">
        <v>24</v>
      </c>
      <c r="B31" s="43"/>
      <c r="C31" s="43"/>
      <c r="D31" s="43" t="s">
        <v>935</v>
      </c>
      <c r="E31" s="44" t="s">
        <v>936</v>
      </c>
      <c r="F31" s="44" t="s">
        <v>937</v>
      </c>
      <c r="G31" s="43" t="s">
        <v>602</v>
      </c>
      <c r="H31" s="43"/>
      <c r="I31" s="45"/>
      <c r="J31" s="54" t="s">
        <v>938</v>
      </c>
      <c r="K31" s="54" t="s">
        <v>939</v>
      </c>
      <c r="L31" s="44" t="s">
        <v>173</v>
      </c>
      <c r="M31" s="44" t="s">
        <v>779</v>
      </c>
      <c r="N31" s="44"/>
      <c r="O31" s="44"/>
      <c r="P31" s="44"/>
      <c r="Q31" s="44" t="s">
        <v>1058</v>
      </c>
      <c r="R31" s="43"/>
      <c r="U31" s="1" t="str">
        <f t="shared" si="2"/>
        <v>INJ_ADMINISTERED_AMOUNT REAL   ,</v>
      </c>
      <c r="Z31" s="1" t="s">
        <v>1112</v>
      </c>
      <c r="AA31" s="1" t="str">
        <f t="shared" si="1"/>
        <v>○</v>
      </c>
    </row>
    <row r="32" spans="1:27" ht="49.5">
      <c r="A32" s="43">
        <v>25</v>
      </c>
      <c r="B32" s="43"/>
      <c r="C32" s="43"/>
      <c r="D32" s="43" t="s">
        <v>940</v>
      </c>
      <c r="E32" s="44" t="s">
        <v>763</v>
      </c>
      <c r="F32" s="44" t="s">
        <v>941</v>
      </c>
      <c r="G32" s="43" t="s">
        <v>217</v>
      </c>
      <c r="H32" s="43"/>
      <c r="I32" s="45"/>
      <c r="J32" s="43" t="s">
        <v>178</v>
      </c>
      <c r="K32" s="43" t="s">
        <v>178</v>
      </c>
      <c r="L32" s="44" t="s">
        <v>277</v>
      </c>
      <c r="M32" s="44" t="s">
        <v>783</v>
      </c>
      <c r="N32" s="44"/>
      <c r="O32" s="44"/>
      <c r="P32" s="44"/>
      <c r="Q32" s="44" t="s">
        <v>1145</v>
      </c>
      <c r="R32" s="43" t="s">
        <v>1146</v>
      </c>
      <c r="U32" s="1" t="str">
        <f t="shared" si="2"/>
        <v>INJ_DOSAGE_UNIT_CD_S VARCHAR(8)   ,</v>
      </c>
      <c r="Z32" s="1" t="s">
        <v>1113</v>
      </c>
      <c r="AA32" s="1" t="str">
        <f t="shared" si="1"/>
        <v>×</v>
      </c>
    </row>
    <row r="33" spans="1:27" ht="49.5">
      <c r="A33" s="2">
        <v>26</v>
      </c>
      <c r="B33" s="2"/>
      <c r="C33" s="2"/>
      <c r="D33" s="2" t="s">
        <v>942</v>
      </c>
      <c r="E33" s="3" t="s">
        <v>766</v>
      </c>
      <c r="F33" s="3" t="s">
        <v>943</v>
      </c>
      <c r="G33" s="2" t="s">
        <v>289</v>
      </c>
      <c r="H33" s="2"/>
      <c r="I33" s="28"/>
      <c r="J33" s="37" t="s">
        <v>944</v>
      </c>
      <c r="K33" s="3" t="s">
        <v>945</v>
      </c>
      <c r="L33" s="3" t="s">
        <v>173</v>
      </c>
      <c r="M33" s="3"/>
      <c r="N33" s="3"/>
      <c r="O33" s="3"/>
      <c r="P33" s="3"/>
      <c r="Q33" s="2"/>
      <c r="R33" s="2"/>
      <c r="U33" s="1" t="str">
        <f t="shared" si="2"/>
        <v>INJ_ADMINISTERED_UNIT_CD_L TEXT   ,</v>
      </c>
      <c r="Z33" s="1" t="s">
        <v>1113</v>
      </c>
      <c r="AA33" s="1" t="str">
        <f t="shared" si="1"/>
        <v>○</v>
      </c>
    </row>
    <row r="34" spans="1:27" ht="49.5">
      <c r="A34" s="43">
        <v>27</v>
      </c>
      <c r="B34" s="43"/>
      <c r="C34" s="43"/>
      <c r="D34" s="43" t="s">
        <v>946</v>
      </c>
      <c r="E34" s="44" t="s">
        <v>771</v>
      </c>
      <c r="F34" s="44" t="s">
        <v>947</v>
      </c>
      <c r="G34" s="43" t="s">
        <v>289</v>
      </c>
      <c r="H34" s="43"/>
      <c r="I34" s="45"/>
      <c r="J34" s="54" t="s">
        <v>944</v>
      </c>
      <c r="K34" s="44" t="s">
        <v>948</v>
      </c>
      <c r="L34" s="44" t="s">
        <v>173</v>
      </c>
      <c r="M34" s="44" t="s">
        <v>783</v>
      </c>
      <c r="N34" s="44"/>
      <c r="O34" s="44"/>
      <c r="P34" s="44"/>
      <c r="Q34" s="43" t="s">
        <v>1147</v>
      </c>
      <c r="R34" s="43"/>
      <c r="U34" s="1" t="str">
        <f t="shared" si="2"/>
        <v>INJ_ADMINISTERED_UNIT_NAME_L TEXT   ,</v>
      </c>
      <c r="Z34" s="1" t="s">
        <v>1114</v>
      </c>
      <c r="AA34" s="1" t="str">
        <f t="shared" si="1"/>
        <v>○</v>
      </c>
    </row>
    <row r="35" spans="1:27" ht="33">
      <c r="A35" s="43">
        <v>28</v>
      </c>
      <c r="B35" s="43"/>
      <c r="C35" s="43"/>
      <c r="D35" s="43" t="s">
        <v>949</v>
      </c>
      <c r="E35" s="44" t="s">
        <v>950</v>
      </c>
      <c r="F35" s="44" t="s">
        <v>951</v>
      </c>
      <c r="G35" s="43" t="s">
        <v>289</v>
      </c>
      <c r="H35" s="43"/>
      <c r="I35" s="45"/>
      <c r="J35" s="54" t="s">
        <v>952</v>
      </c>
      <c r="K35" s="54" t="s">
        <v>953</v>
      </c>
      <c r="L35" s="44" t="s">
        <v>277</v>
      </c>
      <c r="M35" s="44"/>
      <c r="N35" s="44"/>
      <c r="O35" s="44"/>
      <c r="P35" s="44"/>
      <c r="Q35" s="43" t="s">
        <v>1059</v>
      </c>
      <c r="R35" s="43"/>
      <c r="U35" s="1" t="str">
        <f t="shared" si="2"/>
        <v>INJ_ADMINISTRATION_NOTES TEXT   ,</v>
      </c>
      <c r="Z35" s="1" t="s">
        <v>1115</v>
      </c>
      <c r="AA35" s="1" t="str">
        <f t="shared" si="1"/>
        <v>○</v>
      </c>
    </row>
    <row r="36" spans="1:27" ht="33">
      <c r="A36" s="43">
        <v>29</v>
      </c>
      <c r="B36" s="43"/>
      <c r="C36" s="43"/>
      <c r="D36" s="43" t="s">
        <v>954</v>
      </c>
      <c r="E36" s="44" t="s">
        <v>955</v>
      </c>
      <c r="F36" s="44" t="s">
        <v>956</v>
      </c>
      <c r="G36" s="43" t="s">
        <v>289</v>
      </c>
      <c r="H36" s="43"/>
      <c r="I36" s="45"/>
      <c r="J36" s="54" t="s">
        <v>957</v>
      </c>
      <c r="K36" s="54" t="s">
        <v>958</v>
      </c>
      <c r="L36" s="44" t="s">
        <v>277</v>
      </c>
      <c r="M36" s="44"/>
      <c r="N36" s="44"/>
      <c r="O36" s="44"/>
      <c r="P36" s="44"/>
      <c r="Q36" s="43" t="s">
        <v>1059</v>
      </c>
      <c r="R36" s="43"/>
      <c r="U36" s="1" t="str">
        <f t="shared" si="2"/>
        <v>INJ_ADMINISTERED_PER TEXT   ,</v>
      </c>
      <c r="Z36" s="1" t="s">
        <v>1116</v>
      </c>
      <c r="AA36" s="1" t="str">
        <f t="shared" si="1"/>
        <v>○</v>
      </c>
    </row>
    <row r="37" spans="1:27">
      <c r="A37" s="43">
        <v>30</v>
      </c>
      <c r="B37" s="43"/>
      <c r="C37" s="43"/>
      <c r="D37" s="43" t="s">
        <v>959</v>
      </c>
      <c r="E37" s="44" t="s">
        <v>960</v>
      </c>
      <c r="F37" s="44" t="s">
        <v>961</v>
      </c>
      <c r="G37" s="43" t="s">
        <v>289</v>
      </c>
      <c r="H37" s="43"/>
      <c r="I37" s="45"/>
      <c r="J37" s="54" t="s">
        <v>962</v>
      </c>
      <c r="K37" s="54" t="s">
        <v>963</v>
      </c>
      <c r="L37" s="44" t="s">
        <v>277</v>
      </c>
      <c r="M37" s="44"/>
      <c r="N37" s="44"/>
      <c r="O37" s="44"/>
      <c r="P37" s="44"/>
      <c r="Q37" s="43" t="s">
        <v>1059</v>
      </c>
      <c r="R37" s="43"/>
      <c r="U37" s="1" t="str">
        <f t="shared" si="2"/>
        <v>INJ_INDICATION TEXT   ,</v>
      </c>
      <c r="Z37" s="1" t="s">
        <v>1117</v>
      </c>
      <c r="AA37" s="1" t="str">
        <f t="shared" si="1"/>
        <v>○</v>
      </c>
    </row>
    <row r="38" spans="1:27" ht="33">
      <c r="A38" s="2">
        <v>31</v>
      </c>
      <c r="B38" s="2"/>
      <c r="C38" s="2"/>
      <c r="D38" s="2" t="s">
        <v>964</v>
      </c>
      <c r="E38" s="3" t="s">
        <v>965</v>
      </c>
      <c r="F38" s="3" t="s">
        <v>966</v>
      </c>
      <c r="G38" s="2" t="s">
        <v>187</v>
      </c>
      <c r="H38" s="2"/>
      <c r="I38" s="28"/>
      <c r="J38" s="37" t="s">
        <v>967</v>
      </c>
      <c r="K38" s="37" t="s">
        <v>968</v>
      </c>
      <c r="L38" s="3" t="s">
        <v>277</v>
      </c>
      <c r="M38" s="3"/>
      <c r="N38" s="3"/>
      <c r="O38" s="3"/>
      <c r="P38" s="3"/>
      <c r="Q38" s="2"/>
      <c r="R38" s="2"/>
      <c r="U38" s="1" t="str">
        <f t="shared" si="2"/>
        <v>INJ_COMPLETION_STATUS VARCHAR(16)   ,</v>
      </c>
      <c r="Z38" s="1" t="s">
        <v>1118</v>
      </c>
      <c r="AA38" s="1" t="str">
        <f t="shared" si="1"/>
        <v>○</v>
      </c>
    </row>
    <row r="39" spans="1:27" ht="49.5">
      <c r="A39" s="2">
        <v>32</v>
      </c>
      <c r="B39" s="2"/>
      <c r="C39" s="2"/>
      <c r="D39" s="2" t="s">
        <v>969</v>
      </c>
      <c r="E39" s="3" t="s">
        <v>865</v>
      </c>
      <c r="F39" s="3" t="s">
        <v>970</v>
      </c>
      <c r="G39" s="2" t="s">
        <v>355</v>
      </c>
      <c r="H39" s="2"/>
      <c r="I39" s="28" t="s">
        <v>356</v>
      </c>
      <c r="J39" s="2" t="s">
        <v>178</v>
      </c>
      <c r="K39" s="2" t="s">
        <v>178</v>
      </c>
      <c r="L39" s="2" t="s">
        <v>277</v>
      </c>
      <c r="M39" s="29"/>
      <c r="N39" s="3" t="s">
        <v>867</v>
      </c>
      <c r="O39" s="3"/>
      <c r="P39" s="3"/>
      <c r="Q39" s="2"/>
      <c r="R39" s="2"/>
      <c r="U39" s="1" t="str">
        <f t="shared" si="2"/>
        <v>INJ_START_AGE INT   ,</v>
      </c>
      <c r="Z39" s="1" t="s">
        <v>969</v>
      </c>
      <c r="AA39" s="1" t="str">
        <f t="shared" si="1"/>
        <v>○</v>
      </c>
    </row>
    <row r="40" spans="1:27" ht="66">
      <c r="A40" s="2">
        <v>33</v>
      </c>
      <c r="B40" s="2"/>
      <c r="C40" s="2"/>
      <c r="D40" s="2" t="s">
        <v>971</v>
      </c>
      <c r="E40" s="3" t="s">
        <v>869</v>
      </c>
      <c r="F40" s="3" t="s">
        <v>972</v>
      </c>
      <c r="G40" s="2" t="s">
        <v>355</v>
      </c>
      <c r="H40" s="2"/>
      <c r="I40" s="28" t="s">
        <v>356</v>
      </c>
      <c r="J40" s="2" t="s">
        <v>178</v>
      </c>
      <c r="K40" s="2" t="s">
        <v>178</v>
      </c>
      <c r="L40" s="2" t="s">
        <v>277</v>
      </c>
      <c r="M40" s="29"/>
      <c r="N40" s="3" t="s">
        <v>871</v>
      </c>
      <c r="O40" s="3"/>
      <c r="P40" s="3"/>
      <c r="Q40" s="2"/>
      <c r="R40" s="2"/>
      <c r="U40" s="1" t="str">
        <f t="shared" si="2"/>
        <v>INJ_START_MONTHS INT   ,</v>
      </c>
      <c r="Z40" s="1" t="s">
        <v>971</v>
      </c>
      <c r="AA40" s="1" t="str">
        <f t="shared" si="1"/>
        <v>○</v>
      </c>
    </row>
    <row r="41" spans="1:27" ht="66">
      <c r="A41" s="2">
        <v>34</v>
      </c>
      <c r="B41" s="2"/>
      <c r="C41" s="2"/>
      <c r="D41" s="2" t="s">
        <v>973</v>
      </c>
      <c r="E41" s="3" t="s">
        <v>873</v>
      </c>
      <c r="F41" s="3" t="s">
        <v>974</v>
      </c>
      <c r="G41" s="2" t="s">
        <v>355</v>
      </c>
      <c r="H41" s="2"/>
      <c r="I41" s="28" t="s">
        <v>356</v>
      </c>
      <c r="J41" s="2" t="s">
        <v>178</v>
      </c>
      <c r="K41" s="2" t="s">
        <v>178</v>
      </c>
      <c r="L41" s="2" t="s">
        <v>277</v>
      </c>
      <c r="M41" s="29"/>
      <c r="N41" s="3" t="s">
        <v>875</v>
      </c>
      <c r="O41" s="3"/>
      <c r="P41" s="3"/>
      <c r="Q41" s="2"/>
      <c r="R41" s="2"/>
      <c r="U41" s="1" t="str">
        <f t="shared" si="2"/>
        <v>INJ_START_DAYS INT   ,</v>
      </c>
      <c r="Z41" s="1" t="s">
        <v>973</v>
      </c>
      <c r="AA41" s="1" t="str">
        <f t="shared" si="1"/>
        <v>○</v>
      </c>
    </row>
    <row r="42" spans="1:27">
      <c r="A42" s="2">
        <v>35</v>
      </c>
      <c r="B42" s="2"/>
      <c r="C42" s="2"/>
      <c r="D42" s="2" t="s">
        <v>184</v>
      </c>
      <c r="E42" s="3" t="s">
        <v>185</v>
      </c>
      <c r="F42" s="3" t="s">
        <v>975</v>
      </c>
      <c r="G42" s="2" t="s">
        <v>187</v>
      </c>
      <c r="H42" s="2" t="s">
        <v>169</v>
      </c>
      <c r="I42" s="28" t="s">
        <v>188</v>
      </c>
      <c r="J42" s="2" t="s">
        <v>656</v>
      </c>
      <c r="K42" s="2" t="s">
        <v>657</v>
      </c>
      <c r="L42" s="3" t="s">
        <v>173</v>
      </c>
      <c r="M42" s="3"/>
      <c r="N42" s="3" t="s">
        <v>191</v>
      </c>
      <c r="O42" s="3"/>
      <c r="P42" s="3"/>
      <c r="Q42" s="2"/>
      <c r="R42" s="2"/>
      <c r="U42" s="1" t="str">
        <f t="shared" si="2"/>
        <v>DATA_UPDATE_DATE VARCHAR(16) NOT NULL  ,</v>
      </c>
      <c r="Z42" s="1" t="s">
        <v>184</v>
      </c>
      <c r="AA42" s="1" t="str">
        <f t="shared" si="1"/>
        <v>○</v>
      </c>
    </row>
    <row r="43" spans="1:27">
      <c r="A43" s="2">
        <v>36</v>
      </c>
      <c r="B43" s="2"/>
      <c r="C43" s="2"/>
      <c r="D43" s="2" t="s">
        <v>192</v>
      </c>
      <c r="E43" s="3" t="s">
        <v>193</v>
      </c>
      <c r="F43" s="3" t="s">
        <v>976</v>
      </c>
      <c r="G43" s="2" t="s">
        <v>195</v>
      </c>
      <c r="H43" s="2" t="s">
        <v>169</v>
      </c>
      <c r="I43" s="28" t="s">
        <v>196</v>
      </c>
      <c r="J43" s="2" t="s">
        <v>178</v>
      </c>
      <c r="K43" s="2" t="s">
        <v>178</v>
      </c>
      <c r="L43" s="3" t="s">
        <v>173</v>
      </c>
      <c r="M43" s="3"/>
      <c r="N43" s="3"/>
      <c r="O43" s="3"/>
      <c r="P43" s="3"/>
      <c r="Q43" s="2"/>
      <c r="R43" s="2"/>
      <c r="U43" s="1" t="str">
        <f t="shared" si="2"/>
        <v xml:space="preserve">TS_TABLE_UPDATE TIMESTAMP NOT NULL </v>
      </c>
      <c r="Z43" s="1" t="s">
        <v>1021</v>
      </c>
      <c r="AA43" s="1" t="str">
        <f t="shared" si="1"/>
        <v>○</v>
      </c>
    </row>
    <row r="44" spans="1:27">
      <c r="M44" s="1"/>
      <c r="T44" s="1" t="s">
        <v>978</v>
      </c>
    </row>
    <row r="45" spans="1:27">
      <c r="M45" s="1"/>
    </row>
  </sheetData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564203-4f9d-456e-bbd5-bcde15d25ed1">
      <Terms xmlns="http://schemas.microsoft.com/office/infopath/2007/PartnerControls"/>
    </lcf76f155ced4ddcb4097134ff3c332f>
    <TaxCatchAll xmlns="e8430fe7-0ffd-46be-bd3e-d4cd89ef03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D4EEBA958DF94FB35A05276C49848C" ma:contentTypeVersion="11" ma:contentTypeDescription="Create a new document." ma:contentTypeScope="" ma:versionID="919631fdb156953ffaf73160d86c6449">
  <xsd:schema xmlns:xsd="http://www.w3.org/2001/XMLSchema" xmlns:xs="http://www.w3.org/2001/XMLSchema" xmlns:p="http://schemas.microsoft.com/office/2006/metadata/properties" xmlns:ns2="ce564203-4f9d-456e-bbd5-bcde15d25ed1" xmlns:ns3="e8430fe7-0ffd-46be-bd3e-d4cd89ef0354" targetNamespace="http://schemas.microsoft.com/office/2006/metadata/properties" ma:root="true" ma:fieldsID="0062c49063a7a513647d622dfec8e236" ns2:_="" ns3:_="">
    <xsd:import namespace="ce564203-4f9d-456e-bbd5-bcde15d25ed1"/>
    <xsd:import namespace="e8430fe7-0ffd-46be-bd3e-d4cd89ef03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64203-4f9d-456e-bbd5-bcde15d25e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68784c8-5187-4d12-af89-ac967a8112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30fe7-0ffd-46be-bd3e-d4cd89ef03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7144df-8700-41c8-b320-471b3d5adba4}" ma:internalName="TaxCatchAll" ma:showField="CatchAllData" ma:web="e8430fe7-0ffd-46be-bd3e-d4cd89ef03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ACB9BE-39C3-45BE-B02E-462672F4C60F}">
  <ds:schemaRefs>
    <ds:schemaRef ds:uri="http://schemas.microsoft.com/office/2006/metadata/properties"/>
    <ds:schemaRef ds:uri="http://schemas.microsoft.com/office/infopath/2007/PartnerControls"/>
    <ds:schemaRef ds:uri="6fca66ec-2c1e-4f1c-8fe8-82da35fd489f"/>
    <ds:schemaRef ds:uri="aaac357b-8164-4509-8d0f-ef08909c2c58"/>
    <ds:schemaRef ds:uri="ce564203-4f9d-456e-bbd5-bcde15d25ed1"/>
    <ds:schemaRef ds:uri="e8430fe7-0ffd-46be-bd3e-d4cd89ef0354"/>
  </ds:schemaRefs>
</ds:datastoreItem>
</file>

<file path=customXml/itemProps2.xml><?xml version="1.0" encoding="utf-8"?>
<ds:datastoreItem xmlns:ds="http://schemas.openxmlformats.org/officeDocument/2006/customXml" ds:itemID="{92C30D7D-7D0B-438C-94AE-ED5125245E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532DF6-F2DF-4AB1-9585-9A764278FC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64203-4f9d-456e-bbd5-bcde15d25ed1"/>
    <ds:schemaRef ds:uri="e8430fe7-0ffd-46be-bd3e-d4cd89ef03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</vt:i4>
      </vt:variant>
    </vt:vector>
  </HeadingPairs>
  <TitlesOfParts>
    <vt:vector size="15" baseType="lpstr">
      <vt:lpstr>表紙</vt:lpstr>
      <vt:lpstr>改訂履歴</vt:lpstr>
      <vt:lpstr>項目</vt:lpstr>
      <vt:lpstr>概要</vt:lpstr>
      <vt:lpstr>命名規則</vt:lpstr>
      <vt:lpstr>PatientID Exchange</vt:lpstr>
      <vt:lpstr>Patient Identification</vt:lpstr>
      <vt:lpstr>Patient Address</vt:lpstr>
      <vt:lpstr>Patient Visit</vt:lpstr>
      <vt:lpstr>Patient Disease</vt:lpstr>
      <vt:lpstr>Observation Result</vt:lpstr>
      <vt:lpstr>Prescription Data</vt:lpstr>
      <vt:lpstr>Injection Data</vt:lpstr>
      <vt:lpstr>'Observation Result'!Print_Area</vt:lpstr>
      <vt:lpstr>'Patient Address'!Print_Area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阪大病院</dc:creator>
  <cp:keywords/>
  <dc:description/>
  <cp:lastModifiedBy>馬場　雅浩</cp:lastModifiedBy>
  <cp:revision/>
  <dcterms:created xsi:type="dcterms:W3CDTF">2022-09-08T06:08:23Z</dcterms:created>
  <dcterms:modified xsi:type="dcterms:W3CDTF">2026-03-27T06:48:43Z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0x01010014D4EEBA958DF94FB35A05276C49848C</vt:lpwstr>
  </property>
</Properties>
</file>